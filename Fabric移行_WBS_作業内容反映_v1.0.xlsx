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5ea6e37b7449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サマリー" sheetId="1" r:id="Red64171ad92446bc"/>
    <x:sheet xmlns:r="http://schemas.openxmlformats.org/officeDocument/2006/relationships" name="WBS" sheetId="2" r:id="Re82961bdc04144f4"/>
    <x:sheet xmlns:r="http://schemas.openxmlformats.org/officeDocument/2006/relationships" name="作業計画" sheetId="3" r:id="Rb01b32628949464b"/>
    <x:sheet xmlns:r="http://schemas.openxmlformats.org/officeDocument/2006/relationships" name="週次ガント" sheetId="4" r:id="Rfc5a0cd39bca49a7"/>
    <x:sheet xmlns:r="http://schemas.openxmlformats.org/officeDocument/2006/relationships" name="元資料対応" sheetId="5" r:id="R3b45c02eee6d4987"/>
    <x:sheet xmlns:r="http://schemas.openxmlformats.org/officeDocument/2006/relationships" name="確認事項" sheetId="6" r:id="Rd0ae050b717f4705"/>
    <x:sheet xmlns:r="http://schemas.openxmlformats.org/officeDocument/2006/relationships" name="設定" sheetId="7" r:id="R00142402586944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@"/>
    <x:numFmt numFmtId="202" formatCode="0.0%"/>
    <x:numFmt numFmtId="203" formatCode="yyyy/mm/dd"/>
    <x:numFmt numFmtId="204" formatCode="0%"/>
    <x:numFmt numFmtId="205" formatCode="m/d"/>
    <x:numFmt numFmtId="206" formatCode="00000"/>
  </x:numFmts>
  <x:fonts count="19">
    <x:font>
      <x:sz val="11"/>
      <x:name val="Carlito"/>
    </x:font>
    <x:font>
      <x:sz val="10"/>
      <x:color rgb="FF20364A"/>
      <x:name val="Yu Gothic"/>
    </x:font>
    <x:font>
      <x:b/>
      <x:sz val="17"/>
      <x:color rgb="FFFFFFFF"/>
      <x:name val="Yu Gothic"/>
    </x:font>
    <x:font>
      <x:sz val="10"/>
      <x:color rgb="FF5A6B7A"/>
      <x:name val="Yu Gothic"/>
    </x:font>
    <x:font>
      <x:b/>
      <x:sz val="10"/>
      <x:color rgb="FFFFFFFF"/>
      <x:name val="Yu Gothic"/>
    </x:font>
    <x:font>
      <x:sz val="10"/>
      <x:color rgb="FF205BA3"/>
      <x:name val="Yu Gothic"/>
    </x:font>
    <x:font>
      <x:b/>
      <x:sz val="10"/>
      <x:color rgb="FF20364A"/>
      <x:name val="Yu Gothic"/>
    </x:font>
    <x:font>
      <x:sz val="9"/>
      <x:color rgb="FF20364A"/>
      <x:name val="Yu Gothic"/>
    </x:font>
    <x:font>
      <x:b/>
      <x:sz val="9"/>
      <x:color rgb="FF20364A"/>
      <x:name val="Yu Gothic"/>
    </x:font>
    <x:font>
      <x:sz val="10"/>
      <x:color rgb="FF547B3F"/>
      <x:name val="Yu Gothic"/>
    </x:font>
    <x:font>
      <x:b/>
      <x:sz val="22"/>
      <x:color rgb="FFFFFFFF"/>
      <x:name val="Yu Gothic"/>
    </x:font>
    <x:font>
      <x:b/>
      <x:sz val="10"/>
      <x:color rgb="FF5A6B7A"/>
      <x:name val="Yu Gothic"/>
    </x:font>
    <x:font>
      <x:b/>
      <x:sz val="25"/>
      <x:color rgb="FF253E56"/>
      <x:name val="Yu Gothic"/>
    </x:font>
    <x:font>
      <x:b/>
      <x:sz val="21"/>
      <x:color rgb="FF253E56"/>
      <x:name val="Yu Gothic"/>
    </x:font>
    <x:font>
      <x:b/>
      <x:sz val="10"/>
      <x:color rgb="FF735318"/>
      <x:name val="Yu Gothic"/>
    </x:font>
    <x:font>
      <x:sz val="9"/>
      <x:color rgb="FF416036"/>
      <x:name val="Yu Gothic"/>
    </x:font>
    <x:font>
      <x:sz val="10"/>
      <x:color rgb="FF426337"/>
      <x:name val="Yu Gothic"/>
    </x:font>
    <x:font>
      <x:sz val="9"/>
      <x:color rgb="FF5A6B7A"/>
      <x:name val="Yu Gothic"/>
    </x:font>
    <x:font>
      <x:b/>
      <x:sz val="10"/>
      <x:color rgb="FF205BA3"/>
      <x:name val="Yu Gothic"/>
    </x:font>
  </x:fonts>
  <x:fills count="24">
    <x:fill>
      <x:patternFill patternType="none"/>
    </x:fill>
    <x:fill>
      <x:patternFill patternType="gray125"/>
    </x:fill>
    <x:fill>
      <x:patternFill patternType="solid">
        <x:fgColor rgb="FF253E56"/>
      </x:patternFill>
    </x:fill>
    <x:fill>
      <x:patternFill patternType="solid">
        <x:fgColor rgb="FFFFF2B2"/>
      </x:patternFill>
    </x:fill>
    <x:fill>
      <x:patternFill patternType="solid">
        <x:fgColor rgb="FFF5F8FB"/>
      </x:patternFill>
    </x:fill>
    <x:fill>
      <x:patternFill patternType="solid">
        <x:fgColor rgb="FFFFFFFF"/>
      </x:patternFill>
    </x:fill>
    <x:fill>
      <x:patternFill patternType="solid">
        <x:fgColor rgb="FFEDF5FC"/>
      </x:patternFill>
    </x:fill>
    <x:fill>
      <x:patternFill patternType="solid">
        <x:fgColor rgb="FFF0F3F6"/>
      </x:patternFill>
    </x:fill>
    <x:fill>
      <x:patternFill patternType="solid">
        <x:fgColor rgb="FFE2EAF2"/>
      </x:patternFill>
    </x:fill>
    <x:fill>
      <x:patternFill patternType="solid">
        <x:fgColor rgb="FFEDF5E7"/>
      </x:patternFill>
    </x:fill>
    <x:fill>
      <x:patternFill patternType="solid">
        <x:fgColor rgb="FFE9E0F2"/>
      </x:patternFill>
    </x:fill>
    <x:fill>
      <x:patternFill patternType="solid">
        <x:fgColor rgb="FFFFF2CC"/>
      </x:patternFill>
    </x:fill>
    <x:fill>
      <x:patternFill patternType="solid">
        <x:fgColor rgb="FFE8F0DA"/>
      </x:patternFill>
    </x:fill>
    <x:fill>
      <x:patternFill patternType="solid">
        <x:fgColor rgb="FFEAF2DE"/>
      </x:patternFill>
    </x:fill>
    <x:fill>
      <x:patternFill patternType="solid">
        <x:fgColor rgb="FFDFEDDF"/>
      </x:patternFill>
    </x:fill>
    <x:fill>
      <x:patternFill patternType="solid">
        <x:fgColor rgb="FFE0EFF0"/>
      </x:patternFill>
    </x:fill>
    <x:fill>
      <x:patternFill patternType="solid">
        <x:fgColor rgb="FFE9EDF2"/>
      </x:patternFill>
    </x:fill>
    <x:fill>
      <x:patternFill patternType="solid">
        <x:fgColor rgb="FFAABBCF"/>
      </x:patternFill>
    </x:fill>
    <x:fill>
      <x:patternFill patternType="solid">
        <x:fgColor rgb="FFDEB5B8"/>
      </x:patternFill>
    </x:fill>
    <x:fill>
      <x:patternFill patternType="solid">
        <x:fgColor rgb="FFCBBEDD"/>
      </x:patternFill>
    </x:fill>
    <x:fill>
      <x:patternFill patternType="solid">
        <x:fgColor rgb="FFCCDDB1"/>
      </x:patternFill>
    </x:fill>
    <x:fill>
      <x:patternFill patternType="solid">
        <x:fgColor rgb="FFDBE6BF"/>
      </x:patternFill>
    </x:fill>
    <x:fill>
      <x:patternFill patternType="solid">
        <x:fgColor rgb="FFB6D4DE"/>
      </x:patternFill>
    </x:fill>
    <x:fill>
      <x:patternFill patternType="solid">
        <x:fgColor rgb="FFE7EDF3"/>
      </x:patternFill>
    </x:fill>
  </x:fills>
  <x:borders count="18">
    <x:border/>
    <x:border/>
    <x:border>
      <x:left style="thin">
        <x:color rgb="FFD8E1E8"/>
      </x:left>
      <x:top style="thin">
        <x:color rgb="FFD8E1E8"/>
      </x:top>
    </x:border>
    <x:border>
      <x:top style="thin">
        <x:color rgb="FFD8E1E8"/>
      </x:top>
    </x:border>
    <x:border>
      <x:right style="thin">
        <x:color rgb="FFD8E1E8"/>
      </x:right>
      <x:top style="thin">
        <x:color rgb="FFD8E1E8"/>
      </x:top>
    </x:border>
    <x:border>
      <x:left style="thin">
        <x:color rgb="FFD8E1E8"/>
      </x:left>
    </x:border>
    <x:border>
      <x:right style="thin">
        <x:color rgb="FFD8E1E8"/>
      </x:right>
    </x:border>
    <x:border>
      <x:left style="thin">
        <x:color rgb="FFD8E1E8"/>
      </x:left>
      <x:bottom style="thin">
        <x:color rgb="FFD8E1E8"/>
      </x:bottom>
    </x:border>
    <x:border>
      <x:bottom style="thin">
        <x:color rgb="FFD8E1E8"/>
      </x:bottom>
    </x:border>
    <x:border>
      <x:right style="thin">
        <x:color rgb="FFD8E1E8"/>
      </x:right>
      <x:bottom style="thin">
        <x:color rgb="FFD8E1E8"/>
      </x:bottom>
    </x:border>
    <x:border>
      <x:left style="thin">
        <x:color rgb="FFD8E1E8"/>
      </x:left>
      <x:top style="thin">
        <x:color rgb="FFD8E1E8"/>
      </x:top>
    </x:border>
    <x:border>
      <x:top style="thin">
        <x:color rgb="FFD8E1E8"/>
      </x:top>
    </x:border>
    <x:border>
      <x:right style="thin">
        <x:color rgb="FFD8E1E8"/>
      </x:right>
      <x:top style="thin">
        <x:color rgb="FFD8E1E8"/>
      </x:top>
    </x:border>
    <x:border>
      <x:left style="thin">
        <x:color rgb="FFD8E1E8"/>
      </x:left>
    </x:border>
    <x:border>
      <x:right style="thin">
        <x:color rgb="FFD8E1E8"/>
      </x:right>
    </x:border>
    <x:border>
      <x:left style="thin">
        <x:color rgb="FFD8E1E8"/>
      </x:left>
      <x:bottom style="thin">
        <x:color rgb="FFD8E1E8"/>
      </x:bottom>
    </x:border>
    <x:border>
      <x:bottom style="thin">
        <x:color rgb="FFD8E1E8"/>
      </x:bottom>
    </x:border>
    <x:border>
      <x:right style="thin">
        <x:color rgb="FFD8E1E8"/>
      </x:right>
      <x:bottom style="thin">
        <x:color rgb="FFD8E1E8"/>
      </x:bottom>
    </x:border>
  </x:borders>
  <x:cellStyleXfs count="1">
    <x:xf numFmtId="0" fontId="0" fillId="0" borderId="0"/>
  </x:cellStyleXfs>
  <x:cellXfs count="480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1" fontId="1" fillId="0" borderId="1" xfId="0" applyNumberFormat="1" applyFont="1" applyFill="1" applyBorder="1"/>
    <x:xf numFmtId="202" fontId="1" fillId="0" borderId="1" xfId="0" applyNumberFormat="1" applyFont="1" applyFill="1" applyBorder="1"/>
    <x:xf numFmtId="203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  <x:xf numFmtId="0" fontId="1" fillId="5" borderId="4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1" fillId="4" borderId="6" xfId="0" applyNumberFormat="1" applyFont="1" applyFill="1" applyBorder="1" applyAlignment="1">
      <x:alignment vertical="center" wrapText="1"/>
    </x:xf>
    <x:xf numFmtId="0" fontId="1" fillId="5" borderId="5" xfId="0" applyNumberFormat="1" applyFont="1" applyFill="1" applyBorder="1" applyAlignment="1">
      <x:alignment vertical="center" wrapText="1"/>
    </x:xf>
    <x:xf numFmtId="0" fontId="1" fillId="5" borderId="6" xfId="0" applyNumberFormat="1" applyFont="1" applyFill="1" applyBorder="1" applyAlignment="1">
      <x:alignment vertical="center" wrapText="1"/>
    </x:xf>
    <x:xf numFmtId="0" fontId="1" fillId="5" borderId="7" xfId="0" applyNumberFormat="1" applyFont="1" applyFill="1" applyBorder="1" applyAlignment="1">
      <x:alignment vertical="center" wrapText="1"/>
    </x:xf>
    <x:xf numFmtId="0" fontId="1" fillId="5" borderId="8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0" fontId="1" fillId="5" borderId="10" xfId="0" applyNumberFormat="1" applyFont="1" applyFill="1" applyBorder="1" applyAlignment="1">
      <x:alignment vertical="center" wrapText="1"/>
    </x:xf>
    <x:xf numFmtId="0" fontId="1" fillId="5" borderId="11" xfId="0" applyNumberFormat="1" applyFont="1" applyFill="1" applyBorder="1" applyAlignment="1">
      <x:alignment vertical="center" wrapText="1"/>
    </x:xf>
    <x:xf numFmtId="0" fontId="1" fillId="5" borderId="12" xfId="0" applyNumberFormat="1" applyFont="1" applyFill="1" applyBorder="1" applyAlignment="1">
      <x:alignment vertical="center" wrapText="1"/>
    </x:xf>
    <x:xf numFmtId="0" fontId="1" fillId="4" borderId="13" xfId="0" applyNumberFormat="1" applyFont="1" applyFill="1" applyBorder="1" applyAlignment="1">
      <x:alignment vertical="center" wrapText="1"/>
    </x:xf>
    <x:xf numFmtId="0" fontId="1" fillId="4" borderId="14" xfId="0" applyNumberFormat="1" applyFont="1" applyFill="1" applyBorder="1" applyAlignment="1">
      <x:alignment vertical="center" wrapText="1"/>
    </x:xf>
    <x:xf numFmtId="0" fontId="1" fillId="5" borderId="13" xfId="0" applyNumberFormat="1" applyFont="1" applyFill="1" applyBorder="1" applyAlignment="1">
      <x:alignment vertical="center" wrapText="1"/>
    </x:xf>
    <x:xf numFmtId="0" fontId="1" fillId="5" borderId="14" xfId="0" applyNumberFormat="1" applyFont="1" applyFill="1" applyBorder="1" applyAlignment="1">
      <x:alignment vertical="center" wrapText="1"/>
    </x:xf>
    <x:xf numFmtId="0" fontId="1" fillId="5" borderId="15" xfId="0" applyNumberFormat="1" applyFont="1" applyFill="1" applyBorder="1" applyAlignment="1">
      <x:alignment vertical="center" wrapText="1"/>
    </x:xf>
    <x:xf numFmtId="0" fontId="1" fillId="5" borderId="16" xfId="0" applyNumberFormat="1" applyFont="1" applyFill="1" applyBorder="1" applyAlignment="1">
      <x:alignment vertical="center" wrapText="1"/>
    </x:xf>
    <x:xf numFmtId="0" fontId="1" fillId="5" borderId="17" xfId="0" applyNumberFormat="1" applyFont="1" applyFill="1" applyBorder="1" applyAlignment="1">
      <x:alignment vertical="center" wrapText="1"/>
    </x:xf>
    <x:xf numFmtId="0" fontId="1" fillId="6" borderId="3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8" xfId="0" applyNumberFormat="1" applyFont="1" applyFill="1" applyBorder="1" applyAlignment="1">
      <x:alignment vertical="center" wrapText="1"/>
    </x:xf>
    <x:xf numFmtId="0" fontId="1" fillId="6" borderId="1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16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16" xfId="0" applyNumberFormat="1" applyFont="1" applyFill="1" applyBorder="1" applyAlignment="1">
      <x:alignment vertical="center" wrapText="1"/>
    </x:xf>
    <x:xf numFmtId="0" fontId="1" fillId="7" borderId="3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8" xfId="0" applyNumberFormat="1" applyFont="1" applyFill="1" applyBorder="1" applyAlignment="1">
      <x:alignment vertical="center" wrapText="1"/>
    </x:xf>
    <x:xf numFmtId="0" fontId="1" fillId="7" borderId="1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7" borderId="16" xfId="0" applyNumberFormat="1" applyFont="1" applyFill="1" applyBorder="1" applyAlignment="1">
      <x:alignment vertical="center" wrapText="1"/>
    </x:xf>
    <x:xf numFmtId="0" fontId="1" fillId="7" borderId="4" xfId="0" applyNumberFormat="1" applyFont="1" applyFill="1" applyBorder="1" applyAlignment="1">
      <x:alignment vertical="center" wrapText="1"/>
    </x:xf>
    <x:xf numFmtId="0" fontId="1" fillId="7" borderId="6" xfId="0" applyNumberFormat="1" applyFont="1" applyFill="1" applyBorder="1" applyAlignment="1">
      <x:alignment vertical="center" wrapText="1"/>
    </x:xf>
    <x:xf numFmtId="0" fontId="1" fillId="7" borderId="9" xfId="0" applyNumberFormat="1" applyFont="1" applyFill="1" applyBorder="1" applyAlignment="1">
      <x:alignment vertical="center" wrapText="1"/>
    </x:xf>
    <x:xf numFmtId="0" fontId="1" fillId="7" borderId="12" xfId="0" applyNumberFormat="1" applyFont="1" applyFill="1" applyBorder="1" applyAlignment="1">
      <x:alignment vertical="center" wrapText="1"/>
    </x:xf>
    <x:xf numFmtId="0" fontId="1" fillId="7" borderId="14" xfId="0" applyNumberFormat="1" applyFont="1" applyFill="1" applyBorder="1" applyAlignment="1">
      <x:alignment vertical="center" wrapText="1"/>
    </x:xf>
    <x:xf numFmtId="0" fontId="1" fillId="7" borderId="17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  <x:xf numFmtId="201" fontId="1" fillId="4" borderId="5" xfId="0" applyNumberFormat="1" applyFont="1" applyFill="1" applyBorder="1" applyAlignment="1">
      <x:alignment vertical="center" wrapText="1"/>
    </x:xf>
    <x:xf numFmtId="201" fontId="1" fillId="5" borderId="5" xfId="0" applyNumberFormat="1" applyFont="1" applyFill="1" applyBorder="1" applyAlignment="1">
      <x:alignment vertical="center" wrapText="1"/>
    </x:xf>
    <x:xf numFmtId="201" fontId="1" fillId="5" borderId="7" xfId="0" applyNumberFormat="1" applyFont="1" applyFill="1" applyBorder="1" applyAlignment="1">
      <x:alignment vertical="center" wrapText="1"/>
    </x:xf>
    <x:xf numFmtId="201" fontId="1" fillId="5" borderId="10" xfId="0" applyNumberFormat="1" applyFont="1" applyFill="1" applyBorder="1" applyAlignment="1">
      <x:alignment vertical="center" wrapText="1"/>
    </x:xf>
    <x:xf numFmtId="201" fontId="1" fillId="4" borderId="13" xfId="0" applyNumberFormat="1" applyFont="1" applyFill="1" applyBorder="1" applyAlignment="1">
      <x:alignment vertical="center" wrapText="1"/>
    </x:xf>
    <x:xf numFmtId="201" fontId="1" fillId="5" borderId="13" xfId="0" applyNumberFormat="1" applyFont="1" applyFill="1" applyBorder="1" applyAlignment="1">
      <x:alignment vertical="center" wrapText="1"/>
    </x:xf>
    <x:xf numFmtId="201" fontId="1" fillId="5" borderId="15" xfId="0" applyNumberFormat="1" applyFont="1" applyFill="1" applyBorder="1" applyAlignment="1">
      <x:alignment vertical="center" wrapText="1"/>
    </x:xf>
    <x:xf numFmtId="201" fontId="5" fillId="6" borderId="3" xfId="0" applyNumberFormat="1" applyFont="1" applyFill="1" applyBorder="1" applyAlignment="1">
      <x:alignment vertical="center" wrapText="1"/>
    </x:xf>
    <x:xf numFmtId="201" fontId="5" fillId="6" borderId="0" xfId="0" applyNumberFormat="1" applyFont="1" applyFill="1" applyBorder="1" applyAlignment="1">
      <x:alignment vertical="center" wrapText="1"/>
    </x:xf>
    <x:xf numFmtId="201" fontId="5" fillId="6" borderId="8" xfId="0" applyNumberFormat="1" applyFont="1" applyFill="1" applyBorder="1" applyAlignment="1">
      <x:alignment vertical="center" wrapText="1"/>
    </x:xf>
    <x:xf numFmtId="201" fontId="5" fillId="6" borderId="11" xfId="0" applyNumberFormat="1" applyFont="1" applyFill="1" applyBorder="1" applyAlignment="1">
      <x:alignment vertical="center" wrapText="1"/>
    </x:xf>
    <x:xf numFmtId="201" fontId="5" fillId="6" borderId="1" xfId="0" applyNumberFormat="1" applyFont="1" applyFill="1" applyBorder="1" applyAlignment="1">
      <x:alignment vertical="center" wrapText="1"/>
    </x:xf>
    <x:xf numFmtId="201" fontId="5" fillId="6" borderId="16" xfId="0" applyNumberFormat="1" applyFont="1" applyFill="1" applyBorder="1" applyAlignment="1">
      <x:alignment vertical="center" wrapText="1"/>
    </x:xf>
    <x:xf numFmtId="203" fontId="1" fillId="7" borderId="3" xfId="0" applyNumberFormat="1" applyFont="1" applyFill="1" applyBorder="1" applyAlignment="1">
      <x:alignment vertical="center" wrapText="1"/>
    </x:xf>
    <x:xf numFmtId="203" fontId="5" fillId="6" borderId="3" xfId="0" applyNumberFormat="1" applyFont="1" applyFill="1" applyBorder="1" applyAlignment="1">
      <x:alignment vertical="center" wrapText="1"/>
    </x:xf>
    <x:xf numFmtId="203" fontId="1" fillId="7" borderId="0" xfId="0" applyNumberFormat="1" applyFont="1" applyFill="1" applyBorder="1" applyAlignment="1">
      <x:alignment vertical="center" wrapText="1"/>
    </x:xf>
    <x:xf numFmtId="203" fontId="5" fillId="6" borderId="0" xfId="0" applyNumberFormat="1" applyFont="1" applyFill="1" applyBorder="1" applyAlignment="1">
      <x:alignment vertical="center" wrapText="1"/>
    </x:xf>
    <x:xf numFmtId="203" fontId="1" fillId="7" borderId="8" xfId="0" applyNumberFormat="1" applyFont="1" applyFill="1" applyBorder="1" applyAlignment="1">
      <x:alignment vertical="center" wrapText="1"/>
    </x:xf>
    <x:xf numFmtId="203" fontId="5" fillId="6" borderId="8" xfId="0" applyNumberFormat="1" applyFont="1" applyFill="1" applyBorder="1" applyAlignment="1">
      <x:alignment vertical="center" wrapText="1"/>
    </x:xf>
    <x:xf numFmtId="203" fontId="1" fillId="7" borderId="11" xfId="0" applyNumberFormat="1" applyFont="1" applyFill="1" applyBorder="1" applyAlignment="1">
      <x:alignment vertical="center" wrapText="1"/>
    </x:xf>
    <x:xf numFmtId="203" fontId="5" fillId="6" borderId="11" xfId="0" applyNumberFormat="1" applyFont="1" applyFill="1" applyBorder="1" applyAlignment="1">
      <x:alignment vertical="center" wrapText="1"/>
    </x:xf>
    <x:xf numFmtId="203" fontId="1" fillId="7" borderId="1" xfId="0" applyNumberFormat="1" applyFont="1" applyFill="1" applyBorder="1" applyAlignment="1">
      <x:alignment vertical="center" wrapText="1"/>
    </x:xf>
    <x:xf numFmtId="203" fontId="5" fillId="6" borderId="1" xfId="0" applyNumberFormat="1" applyFont="1" applyFill="1" applyBorder="1" applyAlignment="1">
      <x:alignment vertical="center" wrapText="1"/>
    </x:xf>
    <x:xf numFmtId="203" fontId="1" fillId="7" borderId="16" xfId="0" applyNumberFormat="1" applyFont="1" applyFill="1" applyBorder="1" applyAlignment="1">
      <x:alignment vertical="center" wrapText="1"/>
    </x:xf>
    <x:xf numFmtId="203" fontId="5" fillId="6" borderId="16" xfId="0" applyNumberFormat="1" applyFont="1" applyFill="1" applyBorder="1" applyAlignment="1">
      <x:alignment vertical="center" wrapText="1"/>
    </x:xf>
    <x:xf numFmtId="204" fontId="1" fillId="7" borderId="3" xfId="0" applyNumberFormat="1" applyFont="1" applyFill="1" applyBorder="1" applyAlignment="1">
      <x:alignment vertical="center" wrapText="1"/>
    </x:xf>
    <x:xf numFmtId="204" fontId="1" fillId="7" borderId="0" xfId="0" applyNumberFormat="1" applyFont="1" applyFill="1" applyBorder="1" applyAlignment="1">
      <x:alignment vertical="center" wrapText="1"/>
    </x:xf>
    <x:xf numFmtId="204" fontId="1" fillId="7" borderId="8" xfId="0" applyNumberFormat="1" applyFont="1" applyFill="1" applyBorder="1" applyAlignment="1">
      <x:alignment vertical="center" wrapText="1"/>
    </x:xf>
    <x:xf numFmtId="204" fontId="1" fillId="7" borderId="11" xfId="0" applyNumberFormat="1" applyFont="1" applyFill="1" applyBorder="1" applyAlignment="1">
      <x:alignment vertical="center" wrapText="1"/>
    </x:xf>
    <x:xf numFmtId="204" fontId="1" fillId="7" borderId="1" xfId="0" applyNumberFormat="1" applyFont="1" applyFill="1" applyBorder="1" applyAlignment="1">
      <x:alignment vertical="center" wrapText="1"/>
    </x:xf>
    <x:xf numFmtId="204" fontId="1" fillId="7" borderId="16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horizontal="center" vertical="center" wrapText="1"/>
    </x:xf>
    <x:xf numFmtId="201" fontId="1" fillId="4" borderId="5" xfId="0" applyNumberFormat="1" applyFont="1" applyFill="1" applyBorder="1" applyAlignment="1">
      <x:alignment horizontal="center" vertical="center" wrapText="1"/>
    </x:xf>
    <x:xf numFmtId="201" fontId="1" fillId="5" borderId="5" xfId="0" applyNumberFormat="1" applyFont="1" applyFill="1" applyBorder="1" applyAlignment="1">
      <x:alignment horizontal="center" vertical="center" wrapText="1"/>
    </x:xf>
    <x:xf numFmtId="201" fontId="1" fillId="5" borderId="7" xfId="0" applyNumberFormat="1" applyFont="1" applyFill="1" applyBorder="1" applyAlignment="1">
      <x:alignment horizontal="center" vertical="center" wrapText="1"/>
    </x:xf>
    <x:xf numFmtId="201" fontId="1" fillId="5" borderId="10" xfId="0" applyNumberFormat="1" applyFont="1" applyFill="1" applyBorder="1" applyAlignment="1">
      <x:alignment horizontal="center" vertical="center" wrapText="1"/>
    </x:xf>
    <x:xf numFmtId="201" fontId="1" fillId="4" borderId="13" xfId="0" applyNumberFormat="1" applyFont="1" applyFill="1" applyBorder="1" applyAlignment="1">
      <x:alignment horizontal="center" vertical="center" wrapText="1"/>
    </x:xf>
    <x:xf numFmtId="201" fontId="1" fillId="5" borderId="13" xfId="0" applyNumberFormat="1" applyFont="1" applyFill="1" applyBorder="1" applyAlignment="1">
      <x:alignment horizontal="center" vertical="center" wrapText="1"/>
    </x:xf>
    <x:xf numFmtId="201" fontId="1" fillId="5" borderId="15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5" fillId="6" borderId="1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6" borderId="16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8" xfId="0" applyNumberFormat="1" applyFont="1" applyFill="1" applyBorder="1" applyAlignment="1">
      <x:alignment horizontal="center" vertical="center" wrapText="1"/>
    </x:xf>
    <x:xf numFmtId="0" fontId="1" fillId="5" borderId="1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201" fontId="5" fillId="6" borderId="3" xfId="0" applyNumberFormat="1" applyFont="1" applyFill="1" applyBorder="1" applyAlignment="1">
      <x:alignment horizontal="center" vertical="center" wrapText="1"/>
    </x:xf>
    <x:xf numFmtId="201" fontId="5" fillId="6" borderId="0" xfId="0" applyNumberFormat="1" applyFont="1" applyFill="1" applyBorder="1" applyAlignment="1">
      <x:alignment horizontal="center" vertical="center" wrapText="1"/>
    </x:xf>
    <x:xf numFmtId="201" fontId="5" fillId="6" borderId="8" xfId="0" applyNumberFormat="1" applyFont="1" applyFill="1" applyBorder="1" applyAlignment="1">
      <x:alignment horizontal="center" vertical="center" wrapText="1"/>
    </x:xf>
    <x:xf numFmtId="201" fontId="5" fillId="6" borderId="11" xfId="0" applyNumberFormat="1" applyFont="1" applyFill="1" applyBorder="1" applyAlignment="1">
      <x:alignment horizontal="center" vertical="center" wrapText="1"/>
    </x:xf>
    <x:xf numFmtId="201" fontId="5" fillId="6" borderId="1" xfId="0" applyNumberFormat="1" applyFont="1" applyFill="1" applyBorder="1" applyAlignment="1">
      <x:alignment horizontal="center" vertical="center" wrapText="1"/>
    </x:xf>
    <x:xf numFmtId="201" fontId="5" fillId="6" borderId="16" xfId="0" applyNumberFormat="1" applyFont="1" applyFill="1" applyBorder="1" applyAlignment="1">
      <x:alignment horizontal="center" vertical="center" wrapText="1"/>
    </x:xf>
    <x:xf numFmtId="203" fontId="1" fillId="7" borderId="3" xfId="0" applyNumberFormat="1" applyFont="1" applyFill="1" applyBorder="1" applyAlignment="1">
      <x:alignment horizontal="center" vertical="center" wrapText="1"/>
    </x:xf>
    <x:xf numFmtId="203" fontId="1" fillId="7" borderId="0" xfId="0" applyNumberFormat="1" applyFont="1" applyFill="1" applyBorder="1" applyAlignment="1">
      <x:alignment horizontal="center" vertical="center" wrapText="1"/>
    </x:xf>
    <x:xf numFmtId="203" fontId="1" fillId="7" borderId="8" xfId="0" applyNumberFormat="1" applyFont="1" applyFill="1" applyBorder="1" applyAlignment="1">
      <x:alignment horizontal="center" vertical="center" wrapText="1"/>
    </x:xf>
    <x:xf numFmtId="203" fontId="1" fillId="7" borderId="11" xfId="0" applyNumberFormat="1" applyFont="1" applyFill="1" applyBorder="1" applyAlignment="1">
      <x:alignment horizontal="center" vertical="center" wrapText="1"/>
    </x:xf>
    <x:xf numFmtId="203" fontId="1" fillId="7" borderId="1" xfId="0" applyNumberFormat="1" applyFont="1" applyFill="1" applyBorder="1" applyAlignment="1">
      <x:alignment horizontal="center" vertical="center" wrapText="1"/>
    </x:xf>
    <x:xf numFmtId="203" fontId="1" fillId="7" borderId="16" xfId="0" applyNumberFormat="1" applyFont="1" applyFill="1" applyBorder="1" applyAlignment="1">
      <x:alignment horizontal="center" vertical="center" wrapText="1"/>
    </x:xf>
    <x:xf numFmtId="203" fontId="5" fillId="6" borderId="3" xfId="0" applyNumberFormat="1" applyFont="1" applyFill="1" applyBorder="1" applyAlignment="1">
      <x:alignment horizontal="center" vertical="center" wrapText="1"/>
    </x:xf>
    <x:xf numFmtId="203" fontId="5" fillId="6" borderId="0" xfId="0" applyNumberFormat="1" applyFont="1" applyFill="1" applyBorder="1" applyAlignment="1">
      <x:alignment horizontal="center" vertical="center" wrapText="1"/>
    </x:xf>
    <x:xf numFmtId="203" fontId="5" fillId="6" borderId="8" xfId="0" applyNumberFormat="1" applyFont="1" applyFill="1" applyBorder="1" applyAlignment="1">
      <x:alignment horizontal="center" vertical="center" wrapText="1"/>
    </x:xf>
    <x:xf numFmtId="203" fontId="5" fillId="6" borderId="11" xfId="0" applyNumberFormat="1" applyFont="1" applyFill="1" applyBorder="1" applyAlignment="1">
      <x:alignment horizontal="center" vertical="center" wrapText="1"/>
    </x:xf>
    <x:xf numFmtId="203" fontId="5" fillId="6" borderId="1" xfId="0" applyNumberFormat="1" applyFont="1" applyFill="1" applyBorder="1" applyAlignment="1">
      <x:alignment horizontal="center" vertical="center" wrapText="1"/>
    </x:xf>
    <x:xf numFmtId="203" fontId="5" fillId="6" borderId="16" xfId="0" applyNumberFormat="1" applyFont="1" applyFill="1" applyBorder="1" applyAlignment="1">
      <x:alignment horizontal="center" vertical="center" wrapText="1"/>
    </x:xf>
    <x:xf numFmtId="204" fontId="1" fillId="7" borderId="3" xfId="0" applyNumberFormat="1" applyFont="1" applyFill="1" applyBorder="1" applyAlignment="1">
      <x:alignment horizontal="center" vertical="center" wrapText="1"/>
    </x:xf>
    <x:xf numFmtId="204" fontId="1" fillId="7" borderId="0" xfId="0" applyNumberFormat="1" applyFont="1" applyFill="1" applyBorder="1" applyAlignment="1">
      <x:alignment horizontal="center" vertical="center" wrapText="1"/>
    </x:xf>
    <x:xf numFmtId="204" fontId="1" fillId="7" borderId="8" xfId="0" applyNumberFormat="1" applyFont="1" applyFill="1" applyBorder="1" applyAlignment="1">
      <x:alignment horizontal="center" vertical="center" wrapText="1"/>
    </x:xf>
    <x:xf numFmtId="204" fontId="1" fillId="7" borderId="11" xfId="0" applyNumberFormat="1" applyFont="1" applyFill="1" applyBorder="1" applyAlignment="1">
      <x:alignment horizontal="center" vertical="center" wrapText="1"/>
    </x:xf>
    <x:xf numFmtId="204" fontId="1" fillId="7" borderId="1" xfId="0" applyNumberFormat="1" applyFont="1" applyFill="1" applyBorder="1" applyAlignment="1">
      <x:alignment horizontal="center" vertical="center" wrapText="1"/>
    </x:xf>
    <x:xf numFmtId="204" fontId="1" fillId="7" borderId="16" xfId="0" applyNumberFormat="1" applyFont="1" applyFill="1" applyBorder="1" applyAlignment="1">
      <x:alignment horizontal="center" vertical="center" wrapText="1"/>
    </x:xf>
    <x:xf numFmtId="0" fontId="1" fillId="7" borderId="4" xfId="0" applyNumberFormat="1" applyFont="1" applyFill="1" applyBorder="1" applyAlignment="1">
      <x:alignment horizontal="center" vertical="center" wrapText="1"/>
    </x:xf>
    <x:xf numFmtId="0" fontId="1" fillId="7" borderId="6" xfId="0" applyNumberFormat="1" applyFont="1" applyFill="1" applyBorder="1" applyAlignment="1">
      <x:alignment horizontal="center" vertical="center" wrapText="1"/>
    </x:xf>
    <x:xf numFmtId="0" fontId="1" fillId="7" borderId="9" xfId="0" applyNumberFormat="1" applyFont="1" applyFill="1" applyBorder="1" applyAlignment="1">
      <x:alignment horizontal="center" vertical="center" wrapText="1"/>
    </x:xf>
    <x:xf numFmtId="0" fontId="1" fillId="7" borderId="12" xfId="0" applyNumberFormat="1" applyFont="1" applyFill="1" applyBorder="1" applyAlignment="1">
      <x:alignment horizontal="center" vertical="center" wrapText="1"/>
    </x:xf>
    <x:xf numFmtId="0" fontId="1" fillId="7" borderId="14" xfId="0" applyNumberFormat="1" applyFont="1" applyFill="1" applyBorder="1" applyAlignment="1">
      <x:alignment horizontal="center" vertical="center" wrapText="1"/>
    </x:xf>
    <x:xf numFmtId="0" fontId="1" fillId="7" borderId="17" xfId="0" applyNumberFormat="1" applyFont="1" applyFill="1" applyBorder="1" applyAlignment="1">
      <x:alignment horizontal="center" vertical="center" wrapText="1"/>
    </x:xf>
    <x:xf numFmtId="0" fontId="1" fillId="8" borderId="3" xfId="0" applyNumberFormat="1" applyFont="1" applyFill="1" applyBorder="1" applyAlignment="1">
      <x:alignment vertical="center" wrapText="1"/>
    </x:xf>
    <x:xf numFmtId="0" fontId="1" fillId="8" borderId="11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1" fillId="10" borderId="1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1" fillId="11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1" fillId="12" borderId="1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0" fontId="1" fillId="13" borderId="1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 wrapText="1"/>
    </x:xf>
    <x:xf numFmtId="0" fontId="1" fillId="14" borderId="1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0" fontId="1" fillId="15" borderId="1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0" fontId="1" fillId="16" borderId="1" xfId="0" applyNumberFormat="1" applyFont="1" applyFill="1" applyBorder="1" applyAlignment="1">
      <x:alignment vertical="center" wrapText="1"/>
    </x:xf>
    <x:xf numFmtId="0" fontId="1" fillId="16" borderId="8" xfId="0" applyNumberFormat="1" applyFont="1" applyFill="1" applyBorder="1" applyAlignment="1">
      <x:alignment vertical="center" wrapText="1"/>
    </x:xf>
    <x:xf numFmtId="0" fontId="1" fillId="16" borderId="16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0" fontId="6" fillId="17" borderId="0" xfId="0" applyNumberFormat="1" applyFont="1" applyFill="1" applyBorder="1" applyAlignment="1">
      <x:alignment vertical="center" wrapText="1"/>
    </x:xf>
    <x:xf numFmtId="0" fontId="6" fillId="17" borderId="0" xfId="0" applyNumberFormat="1" applyFont="1" applyFill="1" applyBorder="1" applyAlignment="1">
      <x:alignment horizontal="center" vertical="center" wrapText="1"/>
    </x:xf>
    <x:xf numFmtId="0" fontId="1" fillId="17" borderId="1" xfId="0" applyNumberFormat="1" applyFont="1" applyFill="1" applyBorder="1" applyAlignment="1">
      <x:alignment vertical="center" wrapText="1"/>
    </x:xf>
    <x:xf numFmtId="0" fontId="6" fillId="17" borderId="1" xfId="0" applyNumberFormat="1" applyFont="1" applyFill="1" applyBorder="1" applyAlignment="1">
      <x:alignment vertical="center" wrapText="1"/>
    </x:xf>
    <x:xf numFmtId="0" fontId="6" fillId="17" borderId="1" xfId="0" applyNumberFormat="1" applyFont="1" applyFill="1" applyBorder="1" applyAlignment="1">
      <x:alignment horizontal="center"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horizontal="center" vertical="center" wrapText="1"/>
    </x:xf>
    <x:xf numFmtId="0" fontId="1" fillId="18" borderId="1" xfId="0" applyNumberFormat="1" applyFont="1" applyFill="1" applyBorder="1" applyAlignment="1">
      <x:alignment vertical="center" wrapText="1"/>
    </x:xf>
    <x:xf numFmtId="0" fontId="6" fillId="18" borderId="1" xfId="0" applyNumberFormat="1" applyFont="1" applyFill="1" applyBorder="1" applyAlignment="1">
      <x:alignment vertical="center" wrapText="1"/>
    </x:xf>
    <x:xf numFmtId="0" fontId="6" fillId="18" borderId="1" xfId="0" applyNumberFormat="1" applyFont="1" applyFill="1" applyBorder="1" applyAlignment="1">
      <x:alignment horizontal="center"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6" fillId="19" borderId="0" xfId="0" applyNumberFormat="1" applyFont="1" applyFill="1" applyBorder="1" applyAlignment="1">
      <x:alignment vertical="center" wrapText="1"/>
    </x:xf>
    <x:xf numFmtId="0" fontId="6" fillId="19" borderId="0" xfId="0" applyNumberFormat="1" applyFont="1" applyFill="1" applyBorder="1" applyAlignment="1">
      <x:alignment horizontal="center" vertical="center" wrapText="1"/>
    </x:xf>
    <x:xf numFmtId="0" fontId="1" fillId="19" borderId="1" xfId="0" applyNumberFormat="1" applyFont="1" applyFill="1" applyBorder="1" applyAlignment="1">
      <x:alignment vertical="center" wrapText="1"/>
    </x:xf>
    <x:xf numFmtId="0" fontId="6" fillId="19" borderId="1" xfId="0" applyNumberFormat="1" applyFont="1" applyFill="1" applyBorder="1" applyAlignment="1">
      <x:alignment vertical="center" wrapText="1"/>
    </x:xf>
    <x:xf numFmtId="0" fontId="6" fillId="19" borderId="1" xfId="0" applyNumberFormat="1" applyFont="1" applyFill="1" applyBorder="1" applyAlignment="1">
      <x:alignment horizontal="center" vertical="center" wrapText="1"/>
    </x:xf>
    <x:xf numFmtId="0" fontId="1" fillId="20" borderId="0" xfId="0" applyNumberFormat="1" applyFont="1" applyFill="1" applyBorder="1" applyAlignment="1">
      <x:alignment vertical="center" wrapText="1"/>
    </x:xf>
    <x:xf numFmtId="0" fontId="6" fillId="20" borderId="0" xfId="0" applyNumberFormat="1" applyFont="1" applyFill="1" applyBorder="1" applyAlignment="1">
      <x:alignment vertical="center" wrapText="1"/>
    </x:xf>
    <x:xf numFmtId="0" fontId="6" fillId="20" borderId="0" xfId="0" applyNumberFormat="1" applyFont="1" applyFill="1" applyBorder="1" applyAlignment="1">
      <x:alignment horizontal="center" vertical="center" wrapText="1"/>
    </x:xf>
    <x:xf numFmtId="0" fontId="1" fillId="20" borderId="1" xfId="0" applyNumberFormat="1" applyFont="1" applyFill="1" applyBorder="1" applyAlignment="1">
      <x:alignment vertical="center" wrapText="1"/>
    </x:xf>
    <x:xf numFmtId="0" fontId="6" fillId="20" borderId="1" xfId="0" applyNumberFormat="1" applyFont="1" applyFill="1" applyBorder="1" applyAlignment="1">
      <x:alignment vertical="center" wrapText="1"/>
    </x:xf>
    <x:xf numFmtId="0" fontId="6" fillId="20" borderId="1" xfId="0" applyNumberFormat="1" applyFont="1" applyFill="1" applyBorder="1" applyAlignment="1">
      <x:alignment horizontal="center" vertical="center" wrapText="1"/>
    </x:xf>
    <x:xf numFmtId="0" fontId="1" fillId="21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horizontal="center" vertical="center" wrapText="1"/>
    </x:xf>
    <x:xf numFmtId="0" fontId="1" fillId="21" borderId="1" xfId="0" applyNumberFormat="1" applyFont="1" applyFill="1" applyBorder="1" applyAlignment="1">
      <x:alignment vertical="center" wrapText="1"/>
    </x:xf>
    <x:xf numFmtId="0" fontId="6" fillId="21" borderId="1" xfId="0" applyNumberFormat="1" applyFont="1" applyFill="1" applyBorder="1" applyAlignment="1">
      <x:alignment vertical="center" wrapText="1"/>
    </x:xf>
    <x:xf numFmtId="0" fontId="6" fillId="21" borderId="1" xfId="0" applyNumberFormat="1" applyFont="1" applyFill="1" applyBorder="1" applyAlignment="1">
      <x:alignment horizontal="center" vertical="center" wrapText="1"/>
    </x:xf>
    <x:xf numFmtId="0" fontId="1" fillId="22" borderId="0" xfId="0" applyNumberFormat="1" applyFont="1" applyFill="1" applyBorder="1" applyAlignment="1">
      <x:alignment vertical="center" wrapText="1"/>
    </x:xf>
    <x:xf numFmtId="0" fontId="6" fillId="22" borderId="0" xfId="0" applyNumberFormat="1" applyFont="1" applyFill="1" applyBorder="1" applyAlignment="1">
      <x:alignment vertical="center" wrapText="1"/>
    </x:xf>
    <x:xf numFmtId="0" fontId="6" fillId="22" borderId="0" xfId="0" applyNumberFormat="1" applyFont="1" applyFill="1" applyBorder="1" applyAlignment="1">
      <x:alignment horizontal="center" vertical="center" wrapText="1"/>
    </x:xf>
    <x:xf numFmtId="0" fontId="1" fillId="22" borderId="1" xfId="0" applyNumberFormat="1" applyFont="1" applyFill="1" applyBorder="1" applyAlignment="1">
      <x:alignment vertical="center" wrapText="1"/>
    </x:xf>
    <x:xf numFmtId="0" fontId="6" fillId="22" borderId="1" xfId="0" applyNumberFormat="1" applyFont="1" applyFill="1" applyBorder="1" applyAlignment="1">
      <x:alignment vertical="center" wrapText="1"/>
    </x:xf>
    <x:xf numFmtId="0" fontId="6" fillId="22" borderId="1" xfId="0" applyNumberFormat="1" applyFont="1" applyFill="1" applyBorder="1" applyAlignment="1">
      <x:alignment horizontal="center" vertical="center" wrapText="1"/>
    </x:xf>
    <x:xf numFmtId="0" fontId="7" fillId="5" borderId="2" xfId="0" applyNumberFormat="1" applyFont="1" applyFill="1" applyBorder="1" applyAlignment="1">
      <x:alignment vertical="center" wrapText="1"/>
    </x:xf>
    <x:xf numFmtId="0" fontId="7" fillId="5" borderId="3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4" borderId="5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6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 applyAlignment="1">
      <x:alignment vertical="center" wrapText="1"/>
    </x:xf>
    <x:xf numFmtId="0" fontId="7" fillId="5" borderId="7" xfId="0" applyNumberFormat="1" applyFont="1" applyFill="1" applyBorder="1" applyAlignment="1">
      <x:alignment vertical="center" wrapText="1"/>
    </x:xf>
    <x:xf numFmtId="0" fontId="7" fillId="5" borderId="8" xfId="0" applyNumberFormat="1" applyFont="1" applyFill="1" applyBorder="1" applyAlignment="1">
      <x:alignment vertical="center" wrapText="1"/>
    </x:xf>
    <x:xf numFmtId="0" fontId="7" fillId="5" borderId="9" xfId="0" applyNumberFormat="1" applyFont="1" applyFill="1" applyBorder="1" applyAlignment="1">
      <x:alignment vertical="center" wrapText="1"/>
    </x:xf>
    <x:xf numFmtId="0" fontId="7" fillId="5" borderId="10" xfId="0" applyNumberFormat="1" applyFont="1" applyFill="1" applyBorder="1" applyAlignment="1">
      <x:alignment vertical="center" wrapText="1"/>
    </x:xf>
    <x:xf numFmtId="0" fontId="7" fillId="5" borderId="11" xfId="0" applyNumberFormat="1" applyFont="1" applyFill="1" applyBorder="1" applyAlignment="1">
      <x:alignment vertical="center" wrapText="1"/>
    </x:xf>
    <x:xf numFmtId="0" fontId="7" fillId="5" borderId="12" xfId="0" applyNumberFormat="1" applyFont="1" applyFill="1" applyBorder="1" applyAlignment="1">
      <x:alignment vertical="center" wrapText="1"/>
    </x:xf>
    <x:xf numFmtId="0" fontId="7" fillId="4" borderId="13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7" fillId="4" borderId="14" xfId="0" applyNumberFormat="1" applyFont="1" applyFill="1" applyBorder="1" applyAlignment="1">
      <x:alignment vertical="center" wrapText="1"/>
    </x:xf>
    <x:xf numFmtId="0" fontId="7" fillId="5" borderId="13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5" borderId="14" xfId="0" applyNumberFormat="1" applyFont="1" applyFill="1" applyBorder="1" applyAlignment="1">
      <x:alignment vertical="center" wrapText="1"/>
    </x:xf>
    <x:xf numFmtId="0" fontId="7" fillId="5" borderId="15" xfId="0" applyNumberFormat="1" applyFont="1" applyFill="1" applyBorder="1" applyAlignment="1">
      <x:alignment vertical="center" wrapText="1"/>
    </x:xf>
    <x:xf numFmtId="0" fontId="7" fillId="5" borderId="16" xfId="0" applyNumberFormat="1" applyFont="1" applyFill="1" applyBorder="1" applyAlignment="1">
      <x:alignment vertical="center" wrapText="1"/>
    </x:xf>
    <x:xf numFmtId="0" fontId="7" fillId="5" borderId="17" xfId="0" applyNumberFormat="1" applyFont="1" applyFill="1" applyBorder="1" applyAlignment="1">
      <x:alignment vertical="center" wrapText="1"/>
    </x:xf>
    <x:xf numFmtId="203" fontId="7" fillId="5" borderId="3" xfId="0" applyNumberFormat="1" applyFont="1" applyFill="1" applyBorder="1" applyAlignment="1">
      <x:alignment vertical="center" wrapText="1"/>
    </x:xf>
    <x:xf numFmtId="203" fontId="7" fillId="4" borderId="0" xfId="0" applyNumberFormat="1" applyFont="1" applyFill="1" applyBorder="1" applyAlignment="1">
      <x:alignment vertical="center" wrapText="1"/>
    </x:xf>
    <x:xf numFmtId="203" fontId="7" fillId="5" borderId="0" xfId="0" applyNumberFormat="1" applyFont="1" applyFill="1" applyBorder="1" applyAlignment="1">
      <x:alignment vertical="center" wrapText="1"/>
    </x:xf>
    <x:xf numFmtId="203" fontId="7" fillId="5" borderId="8" xfId="0" applyNumberFormat="1" applyFont="1" applyFill="1" applyBorder="1" applyAlignment="1">
      <x:alignment vertical="center" wrapText="1"/>
    </x:xf>
    <x:xf numFmtId="203" fontId="7" fillId="5" borderId="11" xfId="0" applyNumberFormat="1" applyFont="1" applyFill="1" applyBorder="1" applyAlignment="1">
      <x:alignment vertical="center" wrapText="1"/>
    </x:xf>
    <x:xf numFmtId="203" fontId="7" fillId="4" borderId="1" xfId="0" applyNumberFormat="1" applyFont="1" applyFill="1" applyBorder="1" applyAlignment="1">
      <x:alignment vertical="center" wrapText="1"/>
    </x:xf>
    <x:xf numFmtId="203" fontId="7" fillId="5" borderId="1" xfId="0" applyNumberFormat="1" applyFont="1" applyFill="1" applyBorder="1" applyAlignment="1">
      <x:alignment vertical="center" wrapText="1"/>
    </x:xf>
    <x:xf numFmtId="203" fontId="7" fillId="5" borderId="16" xfId="0" applyNumberFormat="1" applyFont="1" applyFill="1" applyBorder="1" applyAlignment="1">
      <x:alignment vertical="center" wrapText="1"/>
    </x:xf>
    <x:xf numFmtId="204" fontId="7" fillId="5" borderId="3" xfId="0" applyNumberFormat="1" applyFont="1" applyFill="1" applyBorder="1" applyAlignment="1">
      <x:alignment vertical="center" wrapText="1"/>
    </x:xf>
    <x:xf numFmtId="204" fontId="7" fillId="4" borderId="0" xfId="0" applyNumberFormat="1" applyFont="1" applyFill="1" applyBorder="1" applyAlignment="1">
      <x:alignment vertical="center" wrapText="1"/>
    </x:xf>
    <x:xf numFmtId="204" fontId="7" fillId="5" borderId="0" xfId="0" applyNumberFormat="1" applyFont="1" applyFill="1" applyBorder="1" applyAlignment="1">
      <x:alignment vertical="center" wrapText="1"/>
    </x:xf>
    <x:xf numFmtId="204" fontId="7" fillId="5" borderId="8" xfId="0" applyNumberFormat="1" applyFont="1" applyFill="1" applyBorder="1" applyAlignment="1">
      <x:alignment vertical="center" wrapText="1"/>
    </x:xf>
    <x:xf numFmtId="204" fontId="7" fillId="5" borderId="11" xfId="0" applyNumberFormat="1" applyFont="1" applyFill="1" applyBorder="1" applyAlignment="1">
      <x:alignment vertical="center" wrapText="1"/>
    </x:xf>
    <x:xf numFmtId="204" fontId="7" fillId="4" borderId="1" xfId="0" applyNumberFormat="1" applyFont="1" applyFill="1" applyBorder="1" applyAlignment="1">
      <x:alignment vertical="center" wrapText="1"/>
    </x:xf>
    <x:xf numFmtId="204" fontId="7" fillId="5" borderId="1" xfId="0" applyNumberFormat="1" applyFont="1" applyFill="1" applyBorder="1" applyAlignment="1">
      <x:alignment vertical="center" wrapText="1"/>
    </x:xf>
    <x:xf numFmtId="204" fontId="7" fillId="5" borderId="16" xfId="0" applyNumberFormat="1" applyFont="1" applyFill="1" applyBorder="1" applyAlignment="1">
      <x:alignment vertical="center" wrapText="1"/>
    </x:xf>
    <x:xf numFmtId="0" fontId="7" fillId="5" borderId="2" xfId="0" applyNumberFormat="1" applyFont="1" applyFill="1" applyBorder="1" applyAlignment="1">
      <x:alignment horizontal="center" vertical="center" wrapText="1"/>
    </x:xf>
    <x:xf numFmtId="0" fontId="7" fillId="5" borderId="3" xfId="0" applyNumberFormat="1" applyFont="1" applyFill="1" applyBorder="1" applyAlignment="1">
      <x:alignment horizontal="center" vertical="center" wrapText="1"/>
    </x:xf>
    <x:xf numFmtId="0" fontId="7" fillId="4" borderId="5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7" fillId="5" borderId="5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7" xfId="0" applyNumberFormat="1" applyFont="1" applyFill="1" applyBorder="1" applyAlignment="1">
      <x:alignment horizontal="center" vertical="center" wrapText="1"/>
    </x:xf>
    <x:xf numFmtId="0" fontId="7" fillId="5" borderId="8" xfId="0" applyNumberFormat="1" applyFont="1" applyFill="1" applyBorder="1" applyAlignment="1">
      <x:alignment horizontal="center" vertical="center" wrapText="1"/>
    </x:xf>
    <x:xf numFmtId="0" fontId="7" fillId="5" borderId="10" xfId="0" applyNumberFormat="1" applyFont="1" applyFill="1" applyBorder="1" applyAlignment="1">
      <x:alignment horizontal="center" vertical="center" wrapText="1"/>
    </x:xf>
    <x:xf numFmtId="0" fontId="7" fillId="5" borderId="11" xfId="0" applyNumberFormat="1" applyFont="1" applyFill="1" applyBorder="1" applyAlignment="1">
      <x:alignment horizontal="center" vertical="center" wrapText="1"/>
    </x:xf>
    <x:xf numFmtId="0" fontId="7" fillId="4" borderId="13" xfId="0" applyNumberFormat="1" applyFont="1" applyFill="1" applyBorder="1" applyAlignment="1">
      <x:alignment horizontal="center" vertical="center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7" fillId="5" borderId="13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7" fillId="5" borderId="15" xfId="0" applyNumberFormat="1" applyFont="1" applyFill="1" applyBorder="1" applyAlignment="1">
      <x:alignment horizontal="center" vertical="center" wrapText="1"/>
    </x:xf>
    <x:xf numFmtId="0" fontId="7" fillId="5" borderId="16" xfId="0" applyNumberFormat="1" applyFont="1" applyFill="1" applyBorder="1" applyAlignment="1">
      <x:alignment horizontal="center" vertical="center" wrapText="1"/>
    </x:xf>
    <x:xf numFmtId="203" fontId="7" fillId="5" borderId="3" xfId="0" applyNumberFormat="1" applyFont="1" applyFill="1" applyBorder="1" applyAlignment="1">
      <x:alignment horizontal="center" vertical="center" wrapText="1"/>
    </x:xf>
    <x:xf numFmtId="204" fontId="7" fillId="5" borderId="3" xfId="0" applyNumberFormat="1" applyFont="1" applyFill="1" applyBorder="1" applyAlignment="1">
      <x:alignment horizontal="center" vertical="center" wrapText="1"/>
    </x:xf>
    <x:xf numFmtId="203" fontId="7" fillId="4" borderId="0" xfId="0" applyNumberFormat="1" applyFont="1" applyFill="1" applyBorder="1" applyAlignment="1">
      <x:alignment horizontal="center" vertical="center" wrapText="1"/>
    </x:xf>
    <x:xf numFmtId="204" fontId="7" fillId="4" borderId="0" xfId="0" applyNumberFormat="1" applyFont="1" applyFill="1" applyBorder="1" applyAlignment="1">
      <x:alignment horizontal="center" vertical="center" wrapText="1"/>
    </x:xf>
    <x:xf numFmtId="203" fontId="7" fillId="5" borderId="0" xfId="0" applyNumberFormat="1" applyFont="1" applyFill="1" applyBorder="1" applyAlignment="1">
      <x:alignment horizontal="center" vertical="center" wrapText="1"/>
    </x:xf>
    <x:xf numFmtId="204" fontId="7" fillId="5" borderId="0" xfId="0" applyNumberFormat="1" applyFont="1" applyFill="1" applyBorder="1" applyAlignment="1">
      <x:alignment horizontal="center" vertical="center" wrapText="1"/>
    </x:xf>
    <x:xf numFmtId="203" fontId="7" fillId="5" borderId="8" xfId="0" applyNumberFormat="1" applyFont="1" applyFill="1" applyBorder="1" applyAlignment="1">
      <x:alignment horizontal="center" vertical="center" wrapText="1"/>
    </x:xf>
    <x:xf numFmtId="204" fontId="7" fillId="5" borderId="8" xfId="0" applyNumberFormat="1" applyFont="1" applyFill="1" applyBorder="1" applyAlignment="1">
      <x:alignment horizontal="center" vertical="center" wrapText="1"/>
    </x:xf>
    <x:xf numFmtId="203" fontId="7" fillId="5" borderId="11" xfId="0" applyNumberFormat="1" applyFont="1" applyFill="1" applyBorder="1" applyAlignment="1">
      <x:alignment horizontal="center" vertical="center" wrapText="1"/>
    </x:xf>
    <x:xf numFmtId="204" fontId="7" fillId="5" borderId="11" xfId="0" applyNumberFormat="1" applyFont="1" applyFill="1" applyBorder="1" applyAlignment="1">
      <x:alignment horizontal="center" vertical="center" wrapText="1"/>
    </x:xf>
    <x:xf numFmtId="203" fontId="7" fillId="4" borderId="1" xfId="0" applyNumberFormat="1" applyFont="1" applyFill="1" applyBorder="1" applyAlignment="1">
      <x:alignment horizontal="center" vertical="center" wrapText="1"/>
    </x:xf>
    <x:xf numFmtId="204" fontId="7" fillId="4" borderId="1" xfId="0" applyNumberFormat="1" applyFont="1" applyFill="1" applyBorder="1" applyAlignment="1">
      <x:alignment horizontal="center" vertical="center" wrapText="1"/>
    </x:xf>
    <x:xf numFmtId="203" fontId="7" fillId="5" borderId="1" xfId="0" applyNumberFormat="1" applyFont="1" applyFill="1" applyBorder="1" applyAlignment="1">
      <x:alignment horizontal="center" vertical="center" wrapText="1"/>
    </x:xf>
    <x:xf numFmtId="204" fontId="7" fillId="5" borderId="1" xfId="0" applyNumberFormat="1" applyFont="1" applyFill="1" applyBorder="1" applyAlignment="1">
      <x:alignment horizontal="center" vertical="center" wrapText="1"/>
    </x:xf>
    <x:xf numFmtId="203" fontId="7" fillId="5" borderId="16" xfId="0" applyNumberFormat="1" applyFont="1" applyFill="1" applyBorder="1" applyAlignment="1">
      <x:alignment horizontal="center" vertical="center" wrapText="1"/>
    </x:xf>
    <x:xf numFmtId="204" fontId="7" fillId="5" borderId="16" xfId="0" applyNumberFormat="1" applyFont="1" applyFill="1" applyBorder="1" applyAlignment="1">
      <x:alignment horizontal="center" vertical="center" wrapText="1"/>
    </x:xf>
    <x:xf numFmtId="0" fontId="7" fillId="8" borderId="3" xfId="0" applyNumberFormat="1" applyFont="1" applyFill="1" applyBorder="1" applyAlignment="1">
      <x:alignment horizontal="center" vertical="center" wrapText="1"/>
    </x:xf>
    <x:xf numFmtId="0" fontId="7" fillId="8" borderId="11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7" fillId="10" borderId="0" xfId="0" applyNumberFormat="1" applyFont="1" applyFill="1" applyBorder="1" applyAlignment="1">
      <x:alignment horizontal="center" vertical="center" wrapText="1"/>
    </x:xf>
    <x:xf numFmtId="0" fontId="7" fillId="10" borderId="1" xfId="0" applyNumberFormat="1" applyFont="1" applyFill="1" applyBorder="1" applyAlignment="1">
      <x:alignment horizontal="center" vertical="center" wrapText="1"/>
    </x:xf>
    <x:xf numFmtId="0" fontId="7" fillId="11" borderId="0" xfId="0" applyNumberFormat="1" applyFont="1" applyFill="1" applyBorder="1" applyAlignment="1">
      <x:alignment horizontal="center" vertical="center" wrapText="1"/>
    </x:xf>
    <x:xf numFmtId="0" fontId="7" fillId="11" borderId="1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7" fillId="12" borderId="0" xfId="0" applyNumberFormat="1" applyFont="1" applyFill="1" applyBorder="1" applyAlignment="1">
      <x:alignment horizontal="center" vertical="center" wrapText="1"/>
    </x:xf>
    <x:xf numFmtId="0" fontId="7" fillId="12" borderId="1" xfId="0" applyNumberFormat="1" applyFont="1" applyFill="1" applyBorder="1" applyAlignment="1">
      <x:alignment horizontal="center" vertical="center" wrapText="1"/>
    </x:xf>
    <x:xf numFmtId="0" fontId="7" fillId="13" borderId="0" xfId="0" applyNumberFormat="1" applyFont="1" applyFill="1" applyBorder="1" applyAlignment="1">
      <x:alignment horizontal="center" vertical="center" wrapText="1"/>
    </x:xf>
    <x:xf numFmtId="0" fontId="7" fillId="13" borderId="1" xfId="0" applyNumberFormat="1" applyFont="1" applyFill="1" applyBorder="1" applyAlignment="1">
      <x:alignment horizontal="center" vertical="center" wrapText="1"/>
    </x:xf>
    <x:xf numFmtId="0" fontId="7" fillId="14" borderId="0" xfId="0" applyNumberFormat="1" applyFont="1" applyFill="1" applyBorder="1" applyAlignment="1">
      <x:alignment horizontal="center" vertical="center" wrapText="1"/>
    </x:xf>
    <x:xf numFmtId="0" fontId="7" fillId="14" borderId="1" xfId="0" applyNumberFormat="1" applyFont="1" applyFill="1" applyBorder="1" applyAlignment="1">
      <x:alignment horizontal="center" vertical="center" wrapText="1"/>
    </x:xf>
    <x:xf numFmtId="0" fontId="7" fillId="15" borderId="0" xfId="0" applyNumberFormat="1" applyFont="1" applyFill="1" applyBorder="1" applyAlignment="1">
      <x:alignment horizontal="center" vertical="center" wrapText="1"/>
    </x:xf>
    <x:xf numFmtId="0" fontId="7" fillId="15" borderId="1" xfId="0" applyNumberFormat="1" applyFont="1" applyFill="1" applyBorder="1" applyAlignment="1">
      <x:alignment horizontal="center" vertical="center" wrapText="1"/>
    </x:xf>
    <x:xf numFmtId="0" fontId="7" fillId="16" borderId="0" xfId="0" applyNumberFormat="1" applyFont="1" applyFill="1" applyBorder="1" applyAlignment="1">
      <x:alignment horizontal="center" vertical="center" wrapText="1"/>
    </x:xf>
    <x:xf numFmtId="0" fontId="7" fillId="16" borderId="1" xfId="0" applyNumberFormat="1" applyFont="1" applyFill="1" applyBorder="1" applyAlignment="1">
      <x:alignment horizontal="center" vertical="center" wrapText="1"/>
    </x:xf>
    <x:xf numFmtId="0" fontId="7" fillId="16" borderId="8" xfId="0" applyNumberFormat="1" applyFont="1" applyFill="1" applyBorder="1" applyAlignment="1">
      <x:alignment horizontal="center" vertical="center" wrapText="1"/>
    </x:xf>
    <x:xf numFmtId="0" fontId="7" fillId="16" borderId="16" xfId="0" applyNumberFormat="1" applyFont="1" applyFill="1" applyBorder="1" applyAlignment="1">
      <x:alignment horizontal="center" vertical="center" wrapText="1"/>
    </x:xf>
    <x:xf numFmtId="205" fontId="4" fillId="2" borderId="0" xfId="0" applyNumberFormat="1" applyFont="1" applyFill="1" applyBorder="1" applyAlignment="1">
      <x:alignment horizontal="center" vertical="center" wrapText="1"/>
    </x:xf>
    <x:xf numFmtId="205" fontId="4" fillId="2" borderId="1" xfId="0" applyNumberFormat="1" applyFont="1" applyFill="1" applyBorder="1" applyAlignment="1">
      <x:alignment horizontal="center" vertical="center" wrapText="1"/>
    </x:xf>
    <x:xf numFmtId="203" fontId="1" fillId="5" borderId="3" xfId="0" applyNumberFormat="1" applyFont="1" applyFill="1" applyBorder="1" applyAlignment="1">
      <x:alignment vertical="center" wrapText="1"/>
    </x:xf>
    <x:xf numFmtId="203" fontId="1" fillId="4" borderId="0" xfId="0" applyNumberFormat="1" applyFont="1" applyFill="1" applyBorder="1" applyAlignment="1">
      <x:alignment vertical="center" wrapText="1"/>
    </x:xf>
    <x:xf numFmtId="203" fontId="1" fillId="5" borderId="0" xfId="0" applyNumberFormat="1" applyFont="1" applyFill="1" applyBorder="1" applyAlignment="1">
      <x:alignment vertical="center" wrapText="1"/>
    </x:xf>
    <x:xf numFmtId="203" fontId="1" fillId="5" borderId="8" xfId="0" applyNumberFormat="1" applyFont="1" applyFill="1" applyBorder="1" applyAlignment="1">
      <x:alignment vertical="center" wrapText="1"/>
    </x:xf>
    <x:xf numFmtId="203" fontId="1" fillId="5" borderId="11" xfId="0" applyNumberFormat="1" applyFont="1" applyFill="1" applyBorder="1" applyAlignment="1">
      <x:alignment vertical="center" wrapText="1"/>
    </x:xf>
    <x:xf numFmtId="203" fontId="1" fillId="4" borderId="1" xfId="0" applyNumberFormat="1" applyFont="1" applyFill="1" applyBorder="1" applyAlignment="1">
      <x:alignment vertical="center" wrapText="1"/>
    </x:xf>
    <x:xf numFmtId="203" fontId="1" fillId="5" borderId="1" xfId="0" applyNumberFormat="1" applyFont="1" applyFill="1" applyBorder="1" applyAlignment="1">
      <x:alignment vertical="center" wrapText="1"/>
    </x:xf>
    <x:xf numFmtId="203" fontId="1" fillId="5" borderId="16" xfId="0" applyNumberFormat="1" applyFont="1" applyFill="1" applyBorder="1" applyAlignment="1">
      <x:alignment vertical="center" wrapText="1"/>
    </x:xf>
    <x:xf numFmtId="204" fontId="1" fillId="5" borderId="3" xfId="0" applyNumberFormat="1" applyFont="1" applyFill="1" applyBorder="1" applyAlignment="1">
      <x:alignment vertical="center" wrapText="1"/>
    </x:xf>
    <x:xf numFmtId="204" fontId="1" fillId="4" borderId="0" xfId="0" applyNumberFormat="1" applyFont="1" applyFill="1" applyBorder="1" applyAlignment="1">
      <x:alignment vertical="center" wrapText="1"/>
    </x:xf>
    <x:xf numFmtId="204" fontId="1" fillId="5" borderId="0" xfId="0" applyNumberFormat="1" applyFont="1" applyFill="1" applyBorder="1" applyAlignment="1">
      <x:alignment vertical="center" wrapText="1"/>
    </x:xf>
    <x:xf numFmtId="204" fontId="1" fillId="5" borderId="8" xfId="0" applyNumberFormat="1" applyFont="1" applyFill="1" applyBorder="1" applyAlignment="1">
      <x:alignment vertical="center" wrapText="1"/>
    </x:xf>
    <x:xf numFmtId="204" fontId="1" fillId="5" borderId="11" xfId="0" applyNumberFormat="1" applyFont="1" applyFill="1" applyBorder="1" applyAlignment="1">
      <x:alignment vertical="center" wrapText="1"/>
    </x:xf>
    <x:xf numFmtId="204" fontId="1" fillId="4" borderId="1" xfId="0" applyNumberFormat="1" applyFont="1" applyFill="1" applyBorder="1" applyAlignment="1">
      <x:alignment vertical="center" wrapText="1"/>
    </x:xf>
    <x:xf numFmtId="204" fontId="1" fillId="5" borderId="1" xfId="0" applyNumberFormat="1" applyFont="1" applyFill="1" applyBorder="1" applyAlignment="1">
      <x:alignment vertical="center" wrapText="1"/>
    </x:xf>
    <x:xf numFmtId="204" fontId="1" fillId="5" borderId="16" xfId="0" applyNumberFormat="1" applyFont="1" applyFill="1" applyBorder="1" applyAlignment="1">
      <x:alignment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4" borderId="6" xfId="0" applyNumberFormat="1" applyFont="1" applyFill="1" applyBorder="1" applyAlignment="1">
      <x:alignment horizontal="center" vertical="center" wrapText="1"/>
    </x:xf>
    <x:xf numFmtId="0" fontId="1" fillId="5" borderId="6" xfId="0" applyNumberFormat="1" applyFont="1" applyFill="1" applyBorder="1" applyAlignment="1">
      <x:alignment horizontal="center" vertical="center" wrapText="1"/>
    </x:xf>
    <x:xf numFmtId="0" fontId="1" fillId="5" borderId="9" xfId="0" applyNumberFormat="1" applyFont="1" applyFill="1" applyBorder="1" applyAlignment="1">
      <x:alignment horizontal="center" vertical="center" wrapText="1"/>
    </x:xf>
    <x:xf numFmtId="0" fontId="1" fillId="5" borderId="12" xfId="0" applyNumberFormat="1" applyFont="1" applyFill="1" applyBorder="1" applyAlignment="1">
      <x:alignment horizontal="center" vertical="center" wrapText="1"/>
    </x:xf>
    <x:xf numFmtId="0" fontId="1" fillId="4" borderId="14" xfId="0" applyNumberFormat="1" applyFont="1" applyFill="1" applyBorder="1" applyAlignment="1">
      <x:alignment horizontal="center" vertical="center" wrapText="1"/>
    </x:xf>
    <x:xf numFmtId="0" fontId="1" fillId="5" borderId="14" xfId="0" applyNumberFormat="1" applyFont="1" applyFill="1" applyBorder="1" applyAlignment="1">
      <x:alignment horizontal="center" vertical="center" wrapText="1"/>
    </x:xf>
    <x:xf numFmtId="0" fontId="1" fillId="5" borderId="17" xfId="0" applyNumberFormat="1" applyFont="1" applyFill="1" applyBorder="1" applyAlignment="1">
      <x:alignment horizontal="center" vertical="center" wrapText="1"/>
    </x:xf>
    <x:xf numFmtId="0" fontId="9" fillId="5" borderId="3" xfId="0" applyNumberFormat="1" applyFont="1" applyFill="1" applyBorder="1" applyAlignment="1">
      <x:alignment horizontal="center" vertical="center" wrapText="1"/>
    </x:xf>
    <x:xf numFmtId="0" fontId="9" fillId="5" borderId="4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9" fillId="4" borderId="6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 applyAlignment="1">
      <x:alignment horizontal="center" vertical="center" wrapText="1"/>
    </x:xf>
    <x:xf numFmtId="0" fontId="9" fillId="5" borderId="6" xfId="0" applyNumberFormat="1" applyFont="1" applyFill="1" applyBorder="1" applyAlignment="1">
      <x:alignment horizontal="center" vertical="center" wrapText="1"/>
    </x:xf>
    <x:xf numFmtId="0" fontId="9" fillId="5" borderId="8" xfId="0" applyNumberFormat="1" applyFont="1" applyFill="1" applyBorder="1" applyAlignment="1">
      <x:alignment horizontal="center" vertical="center" wrapText="1"/>
    </x:xf>
    <x:xf numFmtId="0" fontId="9" fillId="5" borderId="9" xfId="0" applyNumberFormat="1" applyFont="1" applyFill="1" applyBorder="1" applyAlignment="1">
      <x:alignment horizontal="center" vertical="center" wrapText="1"/>
    </x:xf>
    <x:xf numFmtId="0" fontId="9" fillId="5" borderId="11" xfId="0" applyNumberFormat="1" applyFont="1" applyFill="1" applyBorder="1" applyAlignment="1">
      <x:alignment horizontal="center" vertical="center" wrapText="1"/>
    </x:xf>
    <x:xf numFmtId="0" fontId="9" fillId="5" borderId="12" xfId="0" applyNumberFormat="1" applyFont="1" applyFill="1" applyBorder="1" applyAlignment="1">
      <x:alignment horizontal="center" vertical="center" wrapText="1"/>
    </x:xf>
    <x:xf numFmtId="0" fontId="9" fillId="4" borderId="1" xfId="0" applyNumberFormat="1" applyFont="1" applyFill="1" applyBorder="1" applyAlignment="1">
      <x:alignment horizontal="center" vertical="center" wrapText="1"/>
    </x:xf>
    <x:xf numFmtId="0" fontId="9" fillId="4" borderId="14" xfId="0" applyNumberFormat="1" applyFont="1" applyFill="1" applyBorder="1" applyAlignment="1">
      <x:alignment horizontal="center" vertical="center" wrapText="1"/>
    </x:xf>
    <x:xf numFmtId="0" fontId="9" fillId="5" borderId="1" xfId="0" applyNumberFormat="1" applyFont="1" applyFill="1" applyBorder="1" applyAlignment="1">
      <x:alignment horizontal="center" vertical="center" wrapText="1"/>
    </x:xf>
    <x:xf numFmtId="0" fontId="9" fillId="5" borderId="14" xfId="0" applyNumberFormat="1" applyFont="1" applyFill="1" applyBorder="1" applyAlignment="1">
      <x:alignment horizontal="center" vertical="center" wrapText="1"/>
    </x:xf>
    <x:xf numFmtId="0" fontId="9" fillId="5" borderId="16" xfId="0" applyNumberFormat="1" applyFont="1" applyFill="1" applyBorder="1" applyAlignment="1">
      <x:alignment horizontal="center" vertical="center" wrapText="1"/>
    </x:xf>
    <x:xf numFmtId="0" fontId="9" fillId="5" borderId="17" xfId="0" applyNumberFormat="1" applyFont="1" applyFill="1" applyBorder="1" applyAlignment="1">
      <x:alignment horizontal="center" vertical="center" wrapText="1"/>
    </x:xf>
    <x:xf numFmtId="0" fontId="1" fillId="4" borderId="7" xfId="0" applyNumberFormat="1" applyFont="1" applyFill="1" applyBorder="1" applyAlignment="1">
      <x:alignment vertical="center" wrapText="1"/>
    </x:xf>
    <x:xf numFmtId="0" fontId="1" fillId="4" borderId="8" xfId="0" applyNumberFormat="1" applyFont="1" applyFill="1" applyBorder="1" applyAlignment="1">
      <x:alignment vertical="center" wrapText="1"/>
    </x:xf>
    <x:xf numFmtId="0" fontId="1" fillId="4" borderId="9" xfId="0" applyNumberFormat="1" applyFont="1" applyFill="1" applyBorder="1" applyAlignment="1">
      <x:alignment vertical="center" wrapText="1"/>
    </x:xf>
    <x:xf numFmtId="0" fontId="1" fillId="4" borderId="15" xfId="0" applyNumberFormat="1" applyFont="1" applyFill="1" applyBorder="1" applyAlignment="1">
      <x:alignment vertical="center" wrapText="1"/>
    </x:xf>
    <x:xf numFmtId="0" fontId="1" fillId="4" borderId="16" xfId="0" applyNumberFormat="1" applyFont="1" applyFill="1" applyBorder="1" applyAlignment="1">
      <x:alignment vertical="center" wrapText="1"/>
    </x:xf>
    <x:xf numFmtId="0" fontId="1" fillId="4" borderId="17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1" fillId="4" borderId="7" xfId="0" applyNumberFormat="1" applyFont="1" applyFill="1" applyBorder="1" applyAlignment="1">
      <x:alignment horizontal="center" vertical="center" wrapText="1"/>
    </x:xf>
    <x:xf numFmtId="0" fontId="1" fillId="4" borderId="8" xfId="0" applyNumberFormat="1" applyFont="1" applyFill="1" applyBorder="1" applyAlignment="1">
      <x:alignment horizontal="center" vertical="center" wrapText="1"/>
    </x:xf>
    <x:xf numFmtId="0" fontId="1" fillId="5" borderId="10" xfId="0" applyNumberFormat="1" applyFont="1" applyFill="1" applyBorder="1" applyAlignment="1">
      <x:alignment horizontal="center" vertical="center" wrapText="1"/>
    </x:xf>
    <x:xf numFmtId="0" fontId="1" fillId="4" borderId="13" xfId="0" applyNumberFormat="1" applyFont="1" applyFill="1" applyBorder="1" applyAlignment="1">
      <x:alignment horizontal="center" vertical="center" wrapText="1"/>
    </x:xf>
    <x:xf numFmtId="0" fontId="1" fillId="5" borderId="13" xfId="0" applyNumberFormat="1" applyFont="1" applyFill="1" applyBorder="1" applyAlignment="1">
      <x:alignment horizontal="center" vertical="center" wrapText="1"/>
    </x:xf>
    <x:xf numFmtId="0" fontId="1" fillId="4" borderId="15" xfId="0" applyNumberFormat="1" applyFont="1" applyFill="1" applyBorder="1" applyAlignment="1">
      <x:alignment horizontal="center" vertical="center" wrapText="1"/>
    </x:xf>
    <x:xf numFmtId="0" fontId="1" fillId="4" borderId="16" xfId="0" applyNumberFormat="1" applyFont="1" applyFill="1" applyBorder="1" applyAlignment="1">
      <x:alignment horizontal="center" vertical="center" wrapText="1"/>
    </x:xf>
    <x:xf numFmtId="203" fontId="1" fillId="4" borderId="8" xfId="0" applyNumberFormat="1" applyFont="1" applyFill="1" applyBorder="1" applyAlignment="1">
      <x:alignment vertical="center" wrapText="1"/>
    </x:xf>
    <x:xf numFmtId="203" fontId="1" fillId="4" borderId="16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23" borderId="0" xfId="0" applyNumberFormat="1" applyFont="1" applyFill="1" applyBorder="1" applyAlignment="1">
      <x:alignment vertical="center" wrapText="1"/>
    </x:xf>
    <x:xf numFmtId="0" fontId="11" fillId="23" borderId="0" xfId="0" applyNumberFormat="1" applyFont="1" applyFill="1" applyBorder="1" applyAlignment="1">
      <x:alignment vertical="center" wrapText="1"/>
    </x:xf>
    <x:xf numFmtId="0" fontId="11" fillId="23" borderId="0" xfId="0" applyNumberFormat="1" applyFont="1" applyFill="1" applyBorder="1" applyAlignment="1">
      <x:alignment horizontal="left" vertical="center" wrapText="1"/>
    </x:xf>
    <x:xf numFmtId="0" fontId="1" fillId="23" borderId="1" xfId="0" applyNumberFormat="1" applyFont="1" applyFill="1" applyBorder="1" applyAlignment="1">
      <x:alignment vertical="center" wrapText="1"/>
    </x:xf>
    <x:xf numFmtId="0" fontId="11" fillId="23" borderId="1" xfId="0" applyNumberFormat="1" applyFont="1" applyFill="1" applyBorder="1" applyAlignment="1">
      <x:alignment vertical="center" wrapText="1"/>
    </x:xf>
    <x:xf numFmtId="0" fontId="11" fillId="23" borderId="1" xfId="0" applyNumberFormat="1" applyFont="1" applyFill="1" applyBorder="1" applyAlignment="1">
      <x:alignment horizontal="left"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2" fillId="4" borderId="0" xfId="0" applyNumberFormat="1" applyFont="1" applyFill="1" applyBorder="1" applyAlignment="1">
      <x:alignment vertical="center" wrapText="1"/>
    </x:xf>
    <x:xf numFmtId="200" fontId="12" fillId="4" borderId="0" xfId="0" applyNumberFormat="1" applyFont="1" applyFill="1" applyBorder="1" applyAlignment="1">
      <x:alignment horizontal="left"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0" fontId="12" fillId="4" borderId="1" xfId="0" applyNumberFormat="1" applyFont="1" applyFill="1" applyBorder="1" applyAlignment="1">
      <x:alignment vertical="center" wrapText="1"/>
    </x:xf>
    <x:xf numFmtId="200" fontId="12" fillId="4" borderId="1" xfId="0" applyNumberFormat="1" applyFont="1" applyFill="1" applyBorder="1" applyAlignment="1">
      <x:alignment horizontal="left"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1" fontId="12" fillId="4" borderId="0" xfId="0" applyNumberFormat="1" applyFont="1" applyFill="1" applyBorder="1" applyAlignment="1">
      <x:alignment vertical="center" wrapText="1"/>
    </x:xf>
    <x:xf numFmtId="201" fontId="12" fillId="4" borderId="0" xfId="0" applyNumberFormat="1" applyFont="1" applyFill="1" applyBorder="1" applyAlignment="1">
      <x:alignment horizontal="left" vertical="center" wrapText="1"/>
    </x:xf>
    <x:xf numFmtId="201" fontId="1" fillId="4" borderId="1" xfId="0" applyNumberFormat="1" applyFont="1" applyFill="1" applyBorder="1" applyAlignment="1">
      <x:alignment vertical="center" wrapText="1"/>
    </x:xf>
    <x:xf numFmtId="201" fontId="12" fillId="4" borderId="1" xfId="0" applyNumberFormat="1" applyFont="1" applyFill="1" applyBorder="1" applyAlignment="1">
      <x:alignment vertical="center" wrapText="1"/>
    </x:xf>
    <x:xf numFmtId="201" fontId="12" fillId="4" borderId="1" xfId="0" applyNumberFormat="1" applyFont="1" applyFill="1" applyBorder="1" applyAlignment="1">
      <x:alignment horizontal="left" vertical="center" wrapText="1"/>
    </x:xf>
    <x:xf numFmtId="202" fontId="1" fillId="4" borderId="0" xfId="0" applyNumberFormat="1" applyFont="1" applyFill="1" applyBorder="1" applyAlignment="1">
      <x:alignment vertical="center" wrapText="1"/>
    </x:xf>
    <x:xf numFmtId="202" fontId="13" fillId="4" borderId="0" xfId="0" applyNumberFormat="1" applyFont="1" applyFill="1" applyBorder="1" applyAlignment="1">
      <x:alignment vertical="center" wrapText="1"/>
    </x:xf>
    <x:xf numFmtId="202" fontId="13" fillId="4" borderId="0" xfId="0" applyNumberFormat="1" applyFont="1" applyFill="1" applyBorder="1" applyAlignment="1">
      <x:alignment horizontal="left" vertical="center" wrapText="1"/>
    </x:xf>
    <x:xf numFmtId="202" fontId="1" fillId="4" borderId="1" xfId="0" applyNumberFormat="1" applyFont="1" applyFill="1" applyBorder="1" applyAlignment="1">
      <x:alignment vertical="center" wrapText="1"/>
    </x:xf>
    <x:xf numFmtId="202" fontId="13" fillId="4" borderId="1" xfId="0" applyNumberFormat="1" applyFont="1" applyFill="1" applyBorder="1" applyAlignment="1">
      <x:alignment vertical="center" wrapText="1"/>
    </x:xf>
    <x:xf numFmtId="202" fontId="13" fillId="4" borderId="1" xfId="0" applyNumberFormat="1" applyFont="1" applyFill="1" applyBorder="1" applyAlignment="1">
      <x:alignment horizontal="left" vertical="center" wrapText="1"/>
    </x:xf>
    <x:xf numFmtId="203" fontId="13" fillId="4" borderId="0" xfId="0" applyNumberFormat="1" applyFont="1" applyFill="1" applyBorder="1" applyAlignment="1">
      <x:alignment vertical="center" wrapText="1"/>
    </x:xf>
    <x:xf numFmtId="203" fontId="13" fillId="4" borderId="0" xfId="0" applyNumberFormat="1" applyFont="1" applyFill="1" applyBorder="1" applyAlignment="1">
      <x:alignment horizontal="left" vertical="center" wrapText="1"/>
    </x:xf>
    <x:xf numFmtId="203" fontId="13" fillId="4" borderId="1" xfId="0" applyNumberFormat="1" applyFont="1" applyFill="1" applyBorder="1" applyAlignment="1">
      <x:alignment vertical="center" wrapText="1"/>
    </x:xf>
    <x:xf numFmtId="203" fontId="13" fillId="4" borderId="1" xfId="0" applyNumberFormat="1" applyFont="1" applyFill="1" applyBorder="1" applyAlignment="1">
      <x:alignment horizontal="left" vertical="center" wrapText="1"/>
    </x:xf>
    <x:xf numFmtId="0" fontId="14" fillId="3" borderId="0" xfId="0" applyNumberFormat="1" applyFont="1" applyFill="1" applyBorder="1" applyAlignment="1">
      <x:alignment vertical="center" wrapText="1"/>
    </x:xf>
    <x:xf numFmtId="0" fontId="14" fillId="3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4" fillId="2" borderId="1" xfId="0" applyNumberFormat="1" applyFont="1" applyFill="1" applyBorder="1" applyAlignment="1">
      <x:alignment horizontal="left" vertical="center" wrapText="1"/>
    </x:xf>
    <x:xf numFmtId="204" fontId="1" fillId="5" borderId="0" xfId="0" applyNumberFormat="1" applyFont="1" applyFill="1" applyBorder="1" applyAlignment="1">
      <x:alignment horizontal="center" vertical="center" wrapText="1"/>
    </x:xf>
    <x:xf numFmtId="204" fontId="1" fillId="4" borderId="0" xfId="0" applyNumberFormat="1" applyFont="1" applyFill="1" applyBorder="1" applyAlignment="1">
      <x:alignment horizontal="center" vertical="center" wrapText="1"/>
    </x:xf>
    <x:xf numFmtId="204" fontId="1" fillId="5" borderId="1" xfId="0" applyNumberFormat="1" applyFont="1" applyFill="1" applyBorder="1" applyAlignment="1">
      <x:alignment horizontal="center" vertical="center" wrapText="1"/>
    </x:xf>
    <x:xf numFmtId="204" fontId="1" fillId="4" borderId="1" xfId="0" applyNumberFormat="1" applyFont="1" applyFill="1" applyBorder="1" applyAlignment="1">
      <x:alignment horizontal="center" vertical="center" wrapText="1"/>
    </x:xf>
    <x:xf numFmtId="0" fontId="15" fillId="9" borderId="0" xfId="0" applyNumberFormat="1" applyFont="1" applyFill="1" applyBorder="1" applyAlignment="1">
      <x:alignment vertical="center" wrapText="1"/>
    </x:xf>
    <x:xf numFmtId="0" fontId="15" fillId="9" borderId="1" xfId="0" applyNumberFormat="1" applyFont="1" applyFill="1" applyBorder="1" applyAlignment="1">
      <x:alignment vertical="center" wrapText="1"/>
    </x:xf>
    <x:xf numFmtId="203" fontId="7" fillId="0" borderId="0" xfId="0" applyNumberFormat="1" applyFont="1" applyFill="1" applyBorder="1" applyAlignment="1">
      <x:alignment vertical="center" wrapText="1"/>
    </x:xf>
    <x:xf numFmtId="203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16" fillId="9" borderId="0" xfId="0" applyNumberFormat="1" applyFont="1" applyFill="1" applyBorder="1" applyAlignment="1">
      <x:alignment vertical="center" wrapText="1"/>
    </x:xf>
    <x:xf numFmtId="0" fontId="16" fillId="9" borderId="1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center" wrapText="1"/>
    </x:xf>
    <x:xf numFmtId="0" fontId="17" fillId="0" borderId="1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vertical="center" wrapText="1"/>
    </x:xf>
    <x:xf numFmtId="0" fontId="18" fillId="6" borderId="1" xfId="0" applyNumberFormat="1" applyFont="1" applyFill="1" applyBorder="1" applyAlignment="1">
      <x:alignment vertical="center" wrapText="1"/>
    </x:xf>
    <x:xf numFmtId="203" fontId="18" fillId="6" borderId="0" xfId="0" applyNumberFormat="1" applyFont="1" applyFill="1" applyBorder="1" applyAlignment="1">
      <x:alignment vertical="center" wrapText="1"/>
    </x:xf>
    <x:xf numFmtId="203" fontId="18" fillId="6" borderId="1" xfId="0" applyNumberFormat="1" applyFont="1" applyFill="1" applyBorder="1" applyAlignment="1">
      <x:alignment vertical="center" wrapText="1"/>
    </x:xf>
    <x:xf numFmtId="206" fontId="7" fillId="5" borderId="2" xfId="0" applyNumberFormat="1" applyFont="1" applyFill="1" applyBorder="1" applyAlignment="1">
      <x:alignment horizontal="center" vertical="center" wrapText="1"/>
    </x:xf>
    <x:xf numFmtId="206" fontId="7" fillId="4" borderId="5" xfId="0" applyNumberFormat="1" applyFont="1" applyFill="1" applyBorder="1" applyAlignment="1">
      <x:alignment horizontal="center" vertical="center" wrapText="1"/>
    </x:xf>
    <x:xf numFmtId="206" fontId="7" fillId="5" borderId="5" xfId="0" applyNumberFormat="1" applyFont="1" applyFill="1" applyBorder="1" applyAlignment="1">
      <x:alignment horizontal="center" vertical="center" wrapText="1"/>
    </x:xf>
    <x:xf numFmtId="206" fontId="7" fillId="5" borderId="7" xfId="0" applyNumberFormat="1" applyFont="1" applyFill="1" applyBorder="1" applyAlignment="1">
      <x:alignment horizontal="center" vertical="center" wrapText="1"/>
    </x:xf>
    <x:xf numFmtId="206" fontId="7" fillId="5" borderId="10" xfId="0" applyNumberFormat="1" applyFont="1" applyFill="1" applyBorder="1" applyAlignment="1">
      <x:alignment horizontal="center" vertical="center" wrapText="1"/>
    </x:xf>
    <x:xf numFmtId="206" fontId="7" fillId="4" borderId="13" xfId="0" applyNumberFormat="1" applyFont="1" applyFill="1" applyBorder="1" applyAlignment="1">
      <x:alignment horizontal="center" vertical="center" wrapText="1"/>
    </x:xf>
    <x:xf numFmtId="206" fontId="7" fillId="5" borderId="13" xfId="0" applyNumberFormat="1" applyFont="1" applyFill="1" applyBorder="1" applyAlignment="1">
      <x:alignment horizontal="center" vertical="center" wrapText="1"/>
    </x:xf>
    <x:xf numFmtId="206" fontId="7" fillId="5" borderId="15" xfId="0" applyNumberFormat="1" applyFont="1" applyFill="1" applyBorder="1" applyAlignment="1">
      <x:alignment horizontal="center" vertical="center" wrapText="1"/>
    </x:xf>
    <x:xf numFmtId="206" fontId="1" fillId="5" borderId="2" xfId="0" applyNumberFormat="1" applyFont="1" applyFill="1" applyBorder="1" applyAlignment="1">
      <x:alignment vertical="center" wrapText="1"/>
    </x:xf>
    <x:xf numFmtId="206" fontId="1" fillId="4" borderId="5" xfId="0" applyNumberFormat="1" applyFont="1" applyFill="1" applyBorder="1" applyAlignment="1">
      <x:alignment vertical="center" wrapText="1"/>
    </x:xf>
    <x:xf numFmtId="206" fontId="1" fillId="5" borderId="5" xfId="0" applyNumberFormat="1" applyFont="1" applyFill="1" applyBorder="1" applyAlignment="1">
      <x:alignment vertical="center" wrapText="1"/>
    </x:xf>
    <x:xf numFmtId="206" fontId="1" fillId="5" borderId="7" xfId="0" applyNumberFormat="1" applyFont="1" applyFill="1" applyBorder="1" applyAlignment="1">
      <x:alignment vertical="center" wrapText="1"/>
    </x:xf>
    <x:xf numFmtId="206" fontId="1" fillId="5" borderId="10" xfId="0" applyNumberFormat="1" applyFont="1" applyFill="1" applyBorder="1" applyAlignment="1">
      <x:alignment vertical="center" wrapText="1"/>
    </x:xf>
    <x:xf numFmtId="206" fontId="1" fillId="4" borderId="13" xfId="0" applyNumberFormat="1" applyFont="1" applyFill="1" applyBorder="1" applyAlignment="1">
      <x:alignment vertical="center" wrapText="1"/>
    </x:xf>
    <x:xf numFmtId="206" fontId="1" fillId="5" borderId="13" xfId="0" applyNumberFormat="1" applyFont="1" applyFill="1" applyBorder="1" applyAlignment="1">
      <x:alignment vertical="center" wrapText="1"/>
    </x:xf>
    <x:xf numFmtId="206" fontId="1" fillId="5" borderId="15" xfId="0" applyNumberFormat="1" applyFont="1" applyFill="1" applyBorder="1" applyAlignment="1">
      <x:alignment vertical="center" wrapText="1"/>
    </x:xf>
    <x:xf numFmtId="206" fontId="1" fillId="5" borderId="3" xfId="0" applyNumberFormat="1" applyFont="1" applyFill="1" applyBorder="1" applyAlignment="1">
      <x:alignment vertical="center" wrapText="1"/>
    </x:xf>
    <x:xf numFmtId="206" fontId="1" fillId="4" borderId="0" xfId="0" applyNumberFormat="1" applyFont="1" applyFill="1" applyBorder="1" applyAlignment="1">
      <x:alignment vertical="center" wrapText="1"/>
    </x:xf>
    <x:xf numFmtId="206" fontId="1" fillId="5" borderId="0" xfId="0" applyNumberFormat="1" applyFont="1" applyFill="1" applyBorder="1" applyAlignment="1">
      <x:alignment vertical="center" wrapText="1"/>
    </x:xf>
    <x:xf numFmtId="206" fontId="1" fillId="4" borderId="8" xfId="0" applyNumberFormat="1" applyFont="1" applyFill="1" applyBorder="1" applyAlignment="1">
      <x:alignment vertical="center" wrapText="1"/>
    </x:xf>
    <x:xf numFmtId="206" fontId="1" fillId="5" borderId="11" xfId="0" applyNumberFormat="1" applyFont="1" applyFill="1" applyBorder="1" applyAlignment="1">
      <x:alignment vertical="center" wrapText="1"/>
    </x:xf>
    <x:xf numFmtId="206" fontId="1" fillId="4" borderId="1" xfId="0" applyNumberFormat="1" applyFont="1" applyFill="1" applyBorder="1" applyAlignment="1">
      <x:alignment vertical="center" wrapText="1"/>
    </x:xf>
    <x:xf numFmtId="206" fontId="1" fillId="5" borderId="1" xfId="0" applyNumberFormat="1" applyFont="1" applyFill="1" applyBorder="1" applyAlignment="1">
      <x:alignment vertical="center" wrapText="1"/>
    </x:xf>
    <x:xf numFmtId="206" fontId="1" fillId="4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color rgb="FFA12626"/>
      </x:font>
      <x:fill>
        <x:patternFill patternType="solid">
          <x:bgColor rgb="FFFADBD8"/>
        </x:patternFill>
      </x:fill>
    </x:dxf>
    <x:dxf>
      <x:font>
        <x:color rgb="FFA12626"/>
      </x:font>
      <x:fill>
        <x:patternFill patternType="solid">
          <x:bgColor rgb="FFFADBD8"/>
        </x:patternFill>
      </x:fill>
    </x:dxf>
    <x:dxf>
      <x:font>
        <x:b/>
        <x:color rgb="FF486B33"/>
      </x:font>
      <x:fill>
        <x:patternFill patternType="solid">
          <x:bgColor rgb="FFDDECD2"/>
        </x:patternFill>
      </x:fill>
    </x:dxf>
    <x:dxf>
      <x:font>
        <x:b/>
        <x:color rgb="FFFFFFFF"/>
      </x:font>
      <x:fill>
        <x:patternFill patternType="solid">
          <x:bgColor rgb="FF739A5C"/>
        </x:patternFill>
      </x:fill>
    </x:dxf>
    <x:dxf>
      <x:font>
        <x:color rgb="FFFFFFFF"/>
      </x:font>
      <x:fill>
        <x:patternFill patternType="solid">
          <x:bgColor rgb="FFCA9F35"/>
        </x:patternFill>
      </x:fill>
    </x:dxf>
    <x:dxf>
      <x:font>
        <x:color rgb="FF456638"/>
      </x:font>
      <x:fill>
        <x:patternFill patternType="solid">
          <x:bgColor rgb="FFEDF5E7"/>
        </x:patternFill>
      </x:fill>
    </x:dxf>
    <x:dxf>
      <x:font>
        <x:b/>
        <x:color rgb="FF6E5215"/>
      </x:font>
      <x:fill>
        <x:patternFill patternType="solid">
          <x:bgColor rgb="FFFFF2B2"/>
        </x:patternFill>
      </x:fill>
    </x:dxf>
    <x:dxf>
      <x:font>
        <x:color rgb="FFA12626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92b49e2c504471" /><Relationship Type="http://schemas.openxmlformats.org/officeDocument/2006/relationships/theme" Target="/xl/theme/theme1.xml" Id="R0491b37956db4c52" /><Relationship Type="http://schemas.openxmlformats.org/officeDocument/2006/relationships/sharedStrings" Target="/xl/sharedStrings.xml" Id="R89871d2cf7564d70" /><Relationship Type="http://schemas.openxmlformats.org/officeDocument/2006/relationships/worksheet" Target="/xl/worksheets/sheet1.xml" Id="Red64171ad92446bc" /><Relationship Type="http://schemas.openxmlformats.org/officeDocument/2006/relationships/worksheet" Target="/xl/worksheets/sheet2.xml" Id="Re82961bdc04144f4" /><Relationship Type="http://schemas.openxmlformats.org/officeDocument/2006/relationships/worksheet" Target="/xl/worksheets/sheet3.xml" Id="Rb01b32628949464b" /><Relationship Type="http://schemas.openxmlformats.org/officeDocument/2006/relationships/worksheet" Target="/xl/worksheets/sheet4.xml" Id="Rfc5a0cd39bca49a7" /><Relationship Type="http://schemas.openxmlformats.org/officeDocument/2006/relationships/worksheet" Target="/xl/worksheets/sheet5.xml" Id="R3b45c02eee6d4987" /><Relationship Type="http://schemas.openxmlformats.org/officeDocument/2006/relationships/worksheet" Target="/xl/worksheets/sheet6.xml" Id="Rd0ae050b717f4705" /><Relationship Type="http://schemas.openxmlformats.org/officeDocument/2006/relationships/worksheet" Target="/xl/worksheets/sheet7.xml" Id="R001424025869445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f4b1b9807d49d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タスク数</c:v>
          </c:tx>
          <c:cat>
            <c:strRef>
              <c:f>'サマリー'!$A$17:$A$24</c:f>
              <c:strCache>
                <c:ptCount val="0"/>
              </c:strCache>
            </c:strRef>
          </c:cat>
          <c:val>
            <c:numRef>
              <c:f>'サマリー'!$B$17:$B$24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完了数</c:v>
          </c:tx>
          <c:cat>
            <c:strRef>
              <c:f>'サマリー'!$A$17:$A$24</c:f>
              <c:strCache>
                <c:ptCount val="0"/>
              </c:strCache>
            </c:strRef>
          </c:cat>
          <c:val>
            <c:numRef>
              <c:f>'サマリー'!$C$17:$C$24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"/>
        <c:txPr>
          <a:bodyPr xmlns:a="http://schemas.openxmlformats.org/drawingml/2006/main" rot="-2400000" anchorCtr="1"/>
          <a:lstStyle xmlns:a="http://schemas.openxmlformats.org/drawingml/2006/main"/>
          <a:p xmlns:a="http://schemas.openxmlformats.org/drawingml/2006/main">
            <a:pPr>
              <a:defRPr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14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f4b1b9807d49d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skPlan" displayName="TaskPlan" ref="A6:AA107" headerRowCount="1" totalsRowCount="0" totalsRowShown="0">
  <x:tableColumns count="27">
    <x:tableColumn id="1" name="タスクID"/>
    <x:tableColumn id="2" name="段階"/>
    <x:tableColumn id="3" name="作業内容"/>
    <x:tableColumn id="4" name="担当（仮）"/>
    <x:tableColumn id="5" name="導入システム"/>
    <x:tableColumn id="6" name="重要度"/>
    <x:tableColumn id="7" name="ステータス"/>
    <x:tableColumn id="8" name="管理工程"/>
    <x:tableColumn id="9" name="対象"/>
    <x:tableColumn id="10" name="先行ID①"/>
    <x:tableColumn id="11" name="先行ID②"/>
    <x:tableColumn id="12" name="先行ID③"/>
    <x:tableColumn id="13" name="最早着手&#10;営業日"/>
    <x:tableColumn id="14" name="期間&#10;営業日"/>
    <x:tableColumn id="15" name="予定開始"/>
    <x:tableColumn id="16" name="予定終了"/>
    <x:tableColumn id="17" name="実績開始"/>
    <x:tableColumn id="18" name="実績終了"/>
    <x:tableColumn id="19" name="総数量"/>
    <x:tableColumn id="20" name="完了数量"/>
    <x:tableColumn id="21" name="完成率"/>
    <x:tableColumn id="22" name="進捗判定"/>
    <x:tableColumn id="23" name="元資料No."/>
    <x:tableColumn id="24" name="反映区分"/>
    <x:tableColumn id="25" name="成果物・完了条件"/>
    <x:tableColumn id="26" name="確認事項・メモ"/>
    <x:tableColumn id="27" name="入力整合性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Coverage" displayName="SourceCoverage" ref="A5:K69" headerRowCount="1" totalsRowCount="0" totalsRowShown="0">
  <x:tableColumns count="11">
    <x:tableColumn id="1" name="元No."/>
    <x:tableColumn id="2" name="画像"/>
    <x:tableColumn id="3" name="区分"/>
    <x:tableColumn id="4" name="概要"/>
    <x:tableColumn id="5" name="詳細"/>
    <x:tableColumn id="6" name="説明（転記・要約）"/>
    <x:tableColumn id="7" name="メモ（転記・要約）"/>
    <x:tableColumn id="8" name="WBSタスクID"/>
    <x:tableColumn id="9" name="反映数"/>
    <x:tableColumn id="10" name="反映確認"/>
    <x:tableColumn id="11" name="出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penQuestions" displayName="OpenQuestions" ref="A5:L25" headerRowCount="1" totalsRowCount="0" totalsRowShown="0">
  <x:tableColumns count="12">
    <x:tableColumn id="1" name="確認ID"/>
    <x:tableColumn id="2" name="重要度"/>
    <x:tableColumn id="3" name="元資料No."/>
    <x:tableColumn id="4" name="分類"/>
    <x:tableColumn id="5" name="未確定事項"/>
    <x:tableColumn id="6" name="確認内容"/>
    <x:tableColumn id="7" name="確認先／担当（仮）"/>
    <x:tableColumn id="8" name="関連タスクID"/>
    <x:tableColumn id="9" name="回答期限目安"/>
    <x:tableColumn id="10" name="状態"/>
    <x:tableColumn id="11" name="影響"/>
    <x:tableColumn id="12" name="次の対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60185eb6b424a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8c19ac2273948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a2eae9fc3b1b42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3fc1434ac00944a1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0" hidden="0" customWidth="1"/>
    <x:col min="3" max="3" width="11" hidden="0" customWidth="1"/>
    <x:col min="4" max="4" width="16" hidden="0" customWidth="1"/>
    <x:col min="5" max="5" width="15" hidden="0" customWidth="1"/>
    <x:col min="6" max="6" width="15" hidden="0" customWidth="1"/>
    <x:col min="7" max="7" width="3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6" customHeight="1">
      <x:c r="A1" s="402" t="str">
        <x:v>Fabric移行｜WBS・スケジュール管理</x:v>
      </x:c>
      <x:c r="B1" s="402"/>
      <x:c r="C1" s="402"/>
      <x:c r="D1" s="402"/>
      <x:c r="E1" s="402"/>
      <x:c r="F1" s="402"/>
      <x:c r="G1" s="402"/>
      <x:c r="H1" s="402"/>
      <x:c r="I1" s="402"/>
      <x:c r="J1" s="402"/>
      <x:c r="K1" s="402"/>
      <x:c r="L1" s="402"/>
    </x:row>
    <x:row r="2" ht="26" customHeight="1">
      <x:c r="A2" s="402"/>
      <x:c r="B2" s="402"/>
      <x:c r="C2" s="402"/>
      <x:c r="D2" s="402"/>
      <x:c r="E2" s="402"/>
      <x:c r="F2" s="402"/>
      <x:c r="G2" s="402"/>
      <x:c r="H2" s="402"/>
      <x:c r="I2" s="402"/>
      <x:c r="J2" s="402"/>
      <x:c r="K2" s="402"/>
      <x:c r="L2" s="402"/>
    </x:row>
    <x:row r="3" ht="28" customHeight="1">
      <x:c r="A3" s="404" t="str">
        <x:v>Dataiku → Fabric  /  原資料No.1–64を反映  /  ドラフト・未承認</x:v>
      </x:c>
      <x:c r="B3" s="404"/>
      <x:c r="C3" s="404"/>
      <x:c r="D3" s="404"/>
      <x:c r="E3" s="404"/>
      <x:c r="F3" s="404"/>
      <x:c r="G3" s="404"/>
      <x:c r="H3" s="404"/>
      <x:c r="I3" s="404"/>
      <x:c r="J3" s="404"/>
      <x:c r="K3" s="404"/>
      <x:c r="L3" s="404"/>
    </x:row>
    <x:row r="4" ht="22" customHeight="1">
      <x:c r="A4" s="30"/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</x:row>
    <x:row r="5" ht="30" customHeight="1">
      <x:c r="A5" s="408" t="str">
        <x:v>全タスク数</x:v>
      </x:c>
      <x:c r="B5" s="408"/>
      <x:c r="C5" s="408"/>
      <x:c r="D5" s="408" t="str">
        <x:v>元資料への対応</x:v>
      </x:c>
      <x:c r="E5" s="408"/>
      <x:c r="F5" s="408"/>
      <x:c r="G5" s="408" t="str">
        <x:v>完了数（資料記載含む）</x:v>
      </x:c>
      <x:c r="H5" s="408"/>
      <x:c r="I5" s="408"/>
      <x:c r="J5" s="408" t="str">
        <x:v>完了率（数量ベース・暫定）</x:v>
      </x:c>
      <x:c r="K5" s="408"/>
      <x:c r="L5" s="408"/>
    </x:row>
    <x:row r="6" ht="27" customHeight="1">
      <x:c r="A6" s="414" t="n">
        <x:f>COUNTA('作業計画'!A7:A107)</x:f>
        <x:v>101</x:v>
      </x:c>
      <x:c r="B6" s="414"/>
      <x:c r="C6" s="414"/>
      <x:c r="D6" s="420" t="str">
        <x:f>COUNTIF('元資料対応'!J6:J69,"反映済")&amp;" / 64"</x:f>
        <x:v>64 / 64</x:v>
      </x:c>
      <x:c r="E6" s="420"/>
      <x:c r="F6" s="420"/>
      <x:c r="G6" s="414" t="n">
        <x:f>COUNTIF('作業計画'!U7:U107,"&gt;=1")</x:f>
        <x:v>2</x:v>
      </x:c>
      <x:c r="H6" s="414"/>
      <x:c r="I6" s="414"/>
      <x:c r="J6" s="426" t="n">
        <x:f>IFERROR(SUM('作業計画'!T7:T107)/SUM('作業計画'!S7:S107),0)</x:f>
        <x:v>0.019801980198019802</x:v>
      </x:c>
      <x:c r="K6" s="426"/>
      <x:c r="L6" s="426"/>
    </x:row>
    <x:row r="7" ht="27" customHeight="1">
      <x:c r="A7" s="414"/>
      <x:c r="B7" s="414"/>
      <x:c r="C7" s="414"/>
      <x:c r="D7" s="420"/>
      <x:c r="E7" s="420"/>
      <x:c r="F7" s="420"/>
      <x:c r="G7" s="414"/>
      <x:c r="H7" s="414"/>
      <x:c r="I7" s="414"/>
      <x:c r="J7" s="426"/>
      <x:c r="K7" s="426"/>
      <x:c r="L7" s="426"/>
    </x:row>
    <x:row r="8" ht="22" customHeight="1">
      <x:c r="A8" s="30"/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</x:row>
    <x:row r="9" ht="30" customHeight="1">
      <x:c r="A9" s="408" t="str">
        <x:v>予定開始（仮）</x:v>
      </x:c>
      <x:c r="B9" s="408"/>
      <x:c r="C9" s="408"/>
      <x:c r="D9" s="408" t="str">
        <x:v>予定終了（仮）</x:v>
      </x:c>
      <x:c r="E9" s="408"/>
      <x:c r="F9" s="408"/>
      <x:c r="G9" s="408" t="str">
        <x:v>入力整合性：要確認件数</x:v>
      </x:c>
      <x:c r="H9" s="408"/>
      <x:c r="I9" s="408"/>
      <x:c r="J9" s="408" t="str">
        <x:v>作業状態：未確認件数</x:v>
      </x:c>
      <x:c r="K9" s="408"/>
      <x:c r="L9" s="408"/>
    </x:row>
    <x:row r="10" ht="27" customHeight="1">
      <x:c r="A10" s="431" t="n">
        <x:f>MIN('作業計画'!O7:O107)</x:f>
        <x:v>46314</x:v>
      </x:c>
      <x:c r="B10" s="431"/>
      <x:c r="C10" s="431"/>
      <x:c r="D10" s="431" t="n">
        <x:f>MAX('作業計画'!P7:P107)</x:f>
        <x:v>46461</x:v>
      </x:c>
      <x:c r="E10" s="431"/>
      <x:c r="F10" s="431"/>
      <x:c r="G10" s="414" t="n">
        <x:f>COUNTIF('作業計画'!AA7:AA107,"&lt;&gt;OK")</x:f>
        <x:v>0</x:v>
      </x:c>
      <x:c r="H10" s="414"/>
      <x:c r="I10" s="414"/>
      <x:c r="J10" s="414" t="n">
        <x:f>COUNTIF('作業計画'!G7:G107,"00.未確認")</x:f>
        <x:v>99</x:v>
      </x:c>
      <x:c r="K10" s="414"/>
      <x:c r="L10" s="414"/>
    </x:row>
    <x:row r="11" ht="27" customHeight="1">
      <x:c r="A11" s="431"/>
      <x:c r="B11" s="431"/>
      <x:c r="C11" s="431"/>
      <x:c r="D11" s="431"/>
      <x:c r="E11" s="431"/>
      <x:c r="F11" s="431"/>
      <x:c r="G11" s="414"/>
      <x:c r="H11" s="414"/>
      <x:c r="I11" s="414"/>
      <x:c r="J11" s="414"/>
      <x:c r="K11" s="414"/>
      <x:c r="L11" s="414"/>
    </x:row>
    <x:row r="12" ht="22" customHeight="1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</x:row>
    <x:row r="13" ht="35" customHeight="1">
      <x:c r="A13" s="434" t="str">
        <x:v>注意：日程・期間・担当・並列実施は仮案です。土日のみ非稼働として計算し、祝日・年末年始は未登録です。</x:v>
      </x:c>
      <x:c r="B13" s="434"/>
      <x:c r="C13" s="434"/>
      <x:c r="D13" s="434"/>
      <x:c r="E13" s="434"/>
      <x:c r="F13" s="434"/>
      <x:c r="G13" s="434"/>
      <x:c r="H13" s="434"/>
      <x:c r="I13" s="434"/>
      <x:c r="J13" s="434"/>
      <x:c r="K13" s="434"/>
      <x:c r="L13" s="434"/>
    </x:row>
    <x:row r="14" ht="22" customHeight="1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</x:row>
    <x:row r="15" ht="29" customHeight="1">
      <x:c r="A15" s="436" t="str">
        <x:v>工程別サマリー</x:v>
      </x:c>
      <x:c r="B15" s="436"/>
      <x:c r="C15" s="436"/>
      <x:c r="D15" s="436"/>
      <x:c r="E15" s="436"/>
      <x:c r="F15" s="436"/>
      <x:c r="G15" s="30"/>
      <x:c r="H15" s="30"/>
      <x:c r="I15" s="30"/>
      <x:c r="J15" s="30"/>
      <x:c r="K15" s="30"/>
      <x:c r="L15" s="30"/>
    </x:row>
    <x:row r="16" ht="31" customHeight="1">
      <x:c r="A16" s="212" t="str">
        <x:v>工程</x:v>
      </x:c>
      <x:c r="B16" s="212" t="str">
        <x:v>タスク数</x:v>
      </x:c>
      <x:c r="C16" s="212" t="str">
        <x:v>完了数</x:v>
      </x:c>
      <x:c r="D16" s="212" t="str">
        <x:v>完了率</x:v>
      </x:c>
      <x:c r="E16" s="212" t="str">
        <x:v>予定開始</x:v>
      </x:c>
      <x:c r="F16" s="212" t="str">
        <x:v>予定終了</x:v>
      </x:c>
      <x:c r="G16" s="30"/>
      <x:c r="H16" s="30"/>
      <x:c r="I16" s="30"/>
      <x:c r="J16" s="30"/>
      <x:c r="K16" s="30"/>
      <x:c r="L16" s="30"/>
    </x:row>
    <x:row r="17" ht="30" customHeight="1">
      <x:c r="A17" s="188" t="str">
        <x:v>01.準備</x:v>
      </x:c>
      <x:c r="B17" s="150" t="n">
        <x:f>COUNTIF('作業計画'!B7:B107,A17)</x:f>
        <x:v>12</x:v>
      </x:c>
      <x:c r="C17" s="150" t="n">
        <x:f>COUNTIFS('作業計画'!B7:B107,A17,'作業計画'!U7:U107,"&gt;=1")</x:f>
        <x:v>2</x:v>
      </x:c>
      <x:c r="D17" s="438" t="n">
        <x:f>IFERROR(SUMIF('作業計画'!B7:B107,A17,'作業計画'!T7:T107)/SUMIF('作業計画'!B7:B107,A17,'作業計画'!S7:S107),0)</x:f>
        <x:v>0.16666666666666666</x:v>
      </x:c>
      <x:c r="E17" s="272" t="n">
        <x:f>MIN('作業計画'!O7,'作業計画'!O8,'作業計画'!O9,'作業計画'!O10,'作業計画'!O11,'作業計画'!O12,'作業計画'!O13,'作業計画'!O14,'作業計画'!O15,'作業計画'!O16,'作業計画'!O17,'作業計画'!O18)</x:f>
        <x:v>46314</x:v>
      </x:c>
      <x:c r="F17" s="272" t="n">
        <x:f>MAX('作業計画'!P7,'作業計画'!P8,'作業計画'!P9,'作業計画'!P10,'作業計画'!P11,'作業計画'!P12,'作業計画'!P13,'作業計画'!P14,'作業計画'!P15,'作業計画'!P16,'作業計画'!P17,'作業計画'!P18)</x:f>
        <x:v>46328</x:v>
      </x:c>
      <x:c r="G17" s="30"/>
      <x:c r="H17" s="30"/>
      <x:c r="I17" s="30"/>
      <x:c r="J17" s="30"/>
      <x:c r="K17" s="30"/>
      <x:c r="L17" s="30"/>
    </x:row>
    <x:row r="18" ht="30" customHeight="1">
      <x:c r="A18" s="192" t="str">
        <x:v>02.要件・設計</x:v>
      </x:c>
      <x:c r="B18" s="149" t="n">
        <x:f>COUNTIF('作業計画'!B7:B107,A18)</x:f>
        <x:v>17</x:v>
      </x:c>
      <x:c r="C18" s="149" t="n">
        <x:f>COUNTIFS('作業計画'!B7:B107,A18,'作業計画'!U7:U107,"&gt;=1")</x:f>
        <x:v>0</x:v>
      </x:c>
      <x:c r="D18" s="439" t="n">
        <x:f>IFERROR(SUMIF('作業計画'!B7:B107,A18,'作業計画'!T7:T107)/SUMIF('作業計画'!B7:B107,A18,'作業計画'!S7:S107),0)</x:f>
        <x:v>0</x:v>
      </x:c>
      <x:c r="E18" s="271" t="n">
        <x:f>MIN('作業計画'!O19,'作業計画'!O20,'作業計画'!O21,'作業計画'!O22,'作業計画'!O23,'作業計画'!O24,'作業計画'!O25,'作業計画'!O26,'作業計画'!O27,'作業計画'!O28,'作業計画'!O29,'作業計画'!O37,'作業計画'!O38,'作業計画'!O39,'作業計画'!O40,'作業計画'!O41,'作業計画'!O42)</x:f>
        <x:v>46329</x:v>
      </x:c>
      <x:c r="F18" s="271" t="n">
        <x:f>MAX('作業計画'!P19,'作業計画'!P20,'作業計画'!P21,'作業計画'!P22,'作業計画'!P23,'作業計画'!P24,'作業計画'!P25,'作業計画'!P26,'作業計画'!P27,'作業計画'!P28,'作業計画'!P29,'作業計画'!P37,'作業計画'!P38,'作業計画'!P39,'作業計画'!P40,'作業計画'!P41,'作業計画'!P42)</x:f>
        <x:v>46363</x:v>
      </x:c>
      <x:c r="G18" s="30"/>
      <x:c r="H18" s="30"/>
      <x:c r="I18" s="30"/>
      <x:c r="J18" s="30"/>
      <x:c r="K18" s="30"/>
      <x:c r="L18" s="30"/>
    </x:row>
    <x:row r="19" ht="30" customHeight="1">
      <x:c r="A19" s="194" t="str">
        <x:v>03.事前検証</x:v>
      </x:c>
      <x:c r="B19" s="150" t="n">
        <x:f>COUNTIF('作業計画'!B7:B107,A19)</x:f>
        <x:v>7</x:v>
      </x:c>
      <x:c r="C19" s="150" t="n">
        <x:f>COUNTIFS('作業計画'!B7:B107,A19,'作業計画'!U7:U107,"&gt;=1")</x:f>
        <x:v>0</x:v>
      </x:c>
      <x:c r="D19" s="438" t="n">
        <x:f>IFERROR(SUMIF('作業計画'!B7:B107,A19,'作業計画'!T7:T107)/SUMIF('作業計画'!B7:B107,A19,'作業計画'!S7:S107),0)</x:f>
        <x:v>0</x:v>
      </x:c>
      <x:c r="E19" s="272" t="n">
        <x:f>MIN('作業計画'!O30,'作業計画'!O31,'作業計画'!O32,'作業計画'!O33,'作業計画'!O34,'作業計画'!O35,'作業計画'!O36)</x:f>
        <x:v>46338</x:v>
      </x:c>
      <x:c r="F19" s="272" t="n">
        <x:f>MAX('作業計画'!P30,'作業計画'!P31,'作業計画'!P32,'作業計画'!P33,'作業計画'!P34,'作業計画'!P35,'作業計画'!P36)</x:f>
        <x:v>46345</x:v>
      </x:c>
      <x:c r="G19" s="30"/>
      <x:c r="H19" s="30"/>
      <x:c r="I19" s="30"/>
      <x:c r="J19" s="30"/>
      <x:c r="K19" s="30"/>
      <x:c r="L19" s="30"/>
    </x:row>
    <x:row r="20" ht="30" customHeight="1">
      <x:c r="A20" s="198" t="str">
        <x:v>04.開発</x:v>
      </x:c>
      <x:c r="B20" s="149" t="n">
        <x:f>COUNTIF('作業計画'!B7:B107,A20)</x:f>
        <x:v>32</x:v>
      </x:c>
      <x:c r="C20" s="149" t="n">
        <x:f>COUNTIFS('作業計画'!B7:B107,A20,'作業計画'!U7:U107,"&gt;=1")</x:f>
        <x:v>0</x:v>
      </x:c>
      <x:c r="D20" s="439" t="n">
        <x:f>IFERROR(SUMIF('作業計画'!B7:B107,A20,'作業計画'!T7:T107)/SUMIF('作業計画'!B7:B107,A20,'作業計画'!S7:S107),0)</x:f>
        <x:v>0</x:v>
      </x:c>
      <x:c r="E20" s="271" t="n">
        <x:f>MIN('作業計画'!O43,'作業計画'!O44,'作業計画'!O45,'作業計画'!O46,'作業計画'!O47,'作業計画'!O48,'作業計画'!O49,'作業計画'!O50,'作業計画'!O51,'作業計画'!O52,'作業計画'!O53,'作業計画'!O54,'作業計画'!O55,'作業計画'!O56,'作業計画'!O57,'作業計画'!O58,'作業計画'!O59,'作業計画'!O60,'作業計画'!O61,'作業計画'!O62,'作業計画'!O63,'作業計画'!O64,'作業計画'!O65,'作業計画'!O66,'作業計画'!O67,'作業計画'!O68,'作業計画'!O69,'作業計画'!O70,'作業計画'!O71,'作業計画'!O72,'作業計画'!O73,'作業計画'!O74)</x:f>
        <x:v>46342</x:v>
      </x:c>
      <x:c r="F20" s="271" t="n">
        <x:f>MAX('作業計画'!P43,'作業計画'!P44,'作業計画'!P45,'作業計画'!P46,'作業計画'!P47,'作業計画'!P48,'作業計画'!P49,'作業計画'!P50,'作業計画'!P51,'作業計画'!P52,'作業計画'!P53,'作業計画'!P54,'作業計画'!P55,'作業計画'!P56,'作業計画'!P57,'作業計画'!P58,'作業計画'!P59,'作業計画'!P60,'作業計画'!P61,'作業計画'!P62,'作業計画'!P63,'作業計画'!P64,'作業計画'!P65,'作業計画'!P66,'作業計画'!P67,'作業計画'!P68,'作業計画'!P69,'作業計画'!P70,'作業計画'!P71,'作業計画'!P72,'作業計画'!P73,'作業計画'!P74)</x:f>
        <x:v>46409</x:v>
      </x:c>
      <x:c r="G20" s="30"/>
      <x:c r="H20" s="30"/>
      <x:c r="I20" s="30"/>
      <x:c r="J20" s="30"/>
      <x:c r="K20" s="30"/>
      <x:c r="L20" s="30"/>
    </x:row>
    <x:row r="21" ht="30" customHeight="1">
      <x:c r="A21" s="200" t="str">
        <x:v>05.単体テスト</x:v>
      </x:c>
      <x:c r="B21" s="150" t="n">
        <x:f>COUNTIF('作業計画'!B7:B107,A21)</x:f>
        <x:v>14</x:v>
      </x:c>
      <x:c r="C21" s="150" t="n">
        <x:f>COUNTIFS('作業計画'!B7:B107,A21,'作業計画'!U7:U107,"&gt;=1")</x:f>
        <x:v>0</x:v>
      </x:c>
      <x:c r="D21" s="438" t="n">
        <x:f>IFERROR(SUMIF('作業計画'!B7:B107,A21,'作業計画'!T7:T107)/SUMIF('作業計画'!B7:B107,A21,'作業計画'!S7:S107),0)</x:f>
        <x:v>0</x:v>
      </x:c>
      <x:c r="E21" s="272" t="n">
        <x:f>MIN('作業計画'!O75,'作業計画'!O76,'作業計画'!O77,'作業計画'!O78,'作業計画'!O79,'作業計画'!O80,'作業計画'!O81,'作業計画'!O82,'作業計画'!O83,'作業計画'!O84,'作業計画'!O85,'作業計画'!O86,'作業計画'!O87,'作業計画'!O88)</x:f>
        <x:v>46364</x:v>
      </x:c>
      <x:c r="F21" s="272" t="n">
        <x:f>MAX('作業計画'!P75,'作業計画'!P76,'作業計画'!P77,'作業計画'!P78,'作業計画'!P79,'作業計画'!P80,'作業計画'!P81,'作業計画'!P82,'作業計画'!P83,'作業計画'!P84,'作業計画'!P85,'作業計画'!P86,'作業計画'!P87,'作業計画'!P88)</x:f>
        <x:v>46407</x:v>
      </x:c>
      <x:c r="G21" s="30"/>
      <x:c r="H21" s="30"/>
      <x:c r="I21" s="30"/>
      <x:c r="J21" s="30"/>
      <x:c r="K21" s="30"/>
      <x:c r="L21" s="30"/>
    </x:row>
    <x:row r="22" ht="30" customHeight="1">
      <x:c r="A22" s="202" t="str">
        <x:v>06.結合テスト</x:v>
      </x:c>
      <x:c r="B22" s="149" t="n">
        <x:f>COUNTIF('作業計画'!B7:B107,A22)</x:f>
        <x:v>9</x:v>
      </x:c>
      <x:c r="C22" s="149" t="n">
        <x:f>COUNTIFS('作業計画'!B7:B107,A22,'作業計画'!U7:U107,"&gt;=1")</x:f>
        <x:v>0</x:v>
      </x:c>
      <x:c r="D22" s="439" t="n">
        <x:f>IFERROR(SUMIF('作業計画'!B7:B107,A22,'作業計画'!T7:T107)/SUMIF('作業計画'!B7:B107,A22,'作業計画'!S7:S107),0)</x:f>
        <x:v>0</x:v>
      </x:c>
      <x:c r="E22" s="271" t="n">
        <x:f>MIN('作業計画'!O89,'作業計画'!O90,'作業計画'!O91,'作業計画'!O92,'作業計画'!O93,'作業計画'!O94,'作業計画'!O95,'作業計画'!O96,'作業計画'!O97)</x:f>
        <x:v>46412</x:v>
      </x:c>
      <x:c r="F22" s="271" t="n">
        <x:f>MAX('作業計画'!P89,'作業計画'!P90,'作業計画'!P91,'作業計画'!P92,'作業計画'!P93,'作業計画'!P94,'作業計画'!P95,'作業計画'!P96,'作業計画'!P97)</x:f>
        <x:v>46441</x:v>
      </x:c>
      <x:c r="G22" s="30"/>
      <x:c r="H22" s="30"/>
      <x:c r="I22" s="30"/>
      <x:c r="J22" s="30"/>
      <x:c r="K22" s="30"/>
      <x:c r="L22" s="30"/>
    </x:row>
    <x:row r="23" ht="30" customHeight="1">
      <x:c r="A23" s="204" t="str">
        <x:v>07.UAT</x:v>
      </x:c>
      <x:c r="B23" s="150" t="n">
        <x:f>COUNTIF('作業計画'!B7:B107,A23)</x:f>
        <x:v>7</x:v>
      </x:c>
      <x:c r="C23" s="150" t="n">
        <x:f>COUNTIFS('作業計画'!B7:B107,A23,'作業計画'!U7:U107,"&gt;=1")</x:f>
        <x:v>0</x:v>
      </x:c>
      <x:c r="D23" s="438" t="n">
        <x:f>IFERROR(SUMIF('作業計画'!B7:B107,A23,'作業計画'!T7:T107)/SUMIF('作業計画'!B7:B107,A23,'作業計画'!S7:S107),0)</x:f>
        <x:v>0</x:v>
      </x:c>
      <x:c r="E23" s="272" t="n">
        <x:f>MIN('作業計画'!O98,'作業計画'!O99,'作業計画'!O100,'作業計画'!O101,'作業計画'!O102,'作業計画'!O103,'作業計画'!O104)</x:f>
        <x:v>46427</x:v>
      </x:c>
      <x:c r="F23" s="272" t="n">
        <x:f>MAX('作業計画'!P98,'作業計画'!P99,'作業計画'!P100,'作業計画'!P101,'作業計画'!P102,'作業計画'!P103,'作業計画'!P104)</x:f>
        <x:v>46456</x:v>
      </x:c>
      <x:c r="G23" s="30"/>
      <x:c r="H23" s="30"/>
      <x:c r="I23" s="30"/>
      <x:c r="J23" s="30"/>
      <x:c r="K23" s="30"/>
      <x:c r="L23" s="30"/>
    </x:row>
    <x:row r="24" ht="30" customHeight="1">
      <x:c r="A24" s="206" t="str">
        <x:v>08.KT</x:v>
      </x:c>
      <x:c r="B24" s="149" t="n">
        <x:f>COUNTIF('作業計画'!B7:B107,A24)</x:f>
        <x:v>3</x:v>
      </x:c>
      <x:c r="C24" s="149" t="n">
        <x:f>COUNTIFS('作業計画'!B7:B107,A24,'作業計画'!U7:U107,"&gt;=1")</x:f>
        <x:v>0</x:v>
      </x:c>
      <x:c r="D24" s="439" t="n">
        <x:f>IFERROR(SUMIF('作業計画'!B7:B107,A24,'作業計画'!T7:T107)/SUMIF('作業計画'!B7:B107,A24,'作業計画'!S7:S107),0)</x:f>
        <x:v>0</x:v>
      </x:c>
      <x:c r="E24" s="271" t="n">
        <x:f>MIN('作業計画'!O105,'作業計画'!O106,'作業計画'!O107)</x:f>
        <x:v>46408</x:v>
      </x:c>
      <x:c r="F24" s="271" t="n">
        <x:f>MAX('作業計画'!P105,'作業計画'!P106,'作業計画'!P107)</x:f>
        <x:v>46461</x:v>
      </x:c>
      <x:c r="G24" s="30"/>
      <x:c r="H24" s="30"/>
      <x:c r="I24" s="30"/>
      <x:c r="J24" s="30"/>
      <x:c r="K24" s="30"/>
      <x:c r="L24" s="30"/>
    </x:row>
    <x:row r="25" ht="22" customHeight="1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</x:row>
    <x:row r="26" ht="35" customHeight="1">
      <x:c r="A26" s="442" t="str">
        <x:v>元No.5・6の2件のみ資料上完了。正式な実績日・承認は未確認です。</x:v>
      </x:c>
      <x:c r="B26" s="442"/>
      <x:c r="C26" s="442"/>
      <x:c r="D26" s="442"/>
      <x:c r="E26" s="442"/>
      <x:c r="F26" s="442"/>
      <x:c r="G26" s="30"/>
      <x:c r="H26" s="30"/>
      <x:c r="I26" s="30"/>
      <x:c r="J26" s="30"/>
      <x:c r="K26" s="30"/>
      <x:c r="L26" s="30"/>
    </x:row>
    <x:row r="27" ht="22" customHeight="1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</x:row>
    <x:row r="28" ht="29" customHeight="1">
      <x:c r="A28" s="436" t="str">
        <x:v>主なマイルストーン（仮）</x:v>
      </x:c>
      <x:c r="B28" s="436"/>
      <x:c r="C28" s="436"/>
      <x:c r="D28" s="436"/>
      <x:c r="E28" s="436"/>
      <x:c r="F28" s="436"/>
      <x:c r="G28" s="30"/>
      <x:c r="H28" s="30"/>
      <x:c r="I28" s="30"/>
      <x:c r="J28" s="30"/>
      <x:c r="K28" s="30"/>
      <x:c r="L28" s="30"/>
    </x:row>
    <x:row r="29" ht="28" customHeight="1">
      <x:c r="A29" s="212" t="str">
        <x:v>マイルストーン</x:v>
      </x:c>
      <x:c r="B29" s="212"/>
      <x:c r="C29" s="212"/>
      <x:c r="D29" s="212" t="str">
        <x:v>予定完了</x:v>
      </x:c>
      <x:c r="E29" s="212" t="str">
        <x:v>進捗判定</x:v>
      </x:c>
      <x:c r="F29" s="212"/>
      <x:c r="G29" s="30"/>
      <x:c r="H29" s="30"/>
      <x:c r="I29" s="30"/>
      <x:c r="J29" s="30"/>
      <x:c r="K29" s="30"/>
      <x:c r="L29" s="30"/>
    </x:row>
    <x:row r="30" ht="29" customHeight="1">
      <x:c r="A30" s="44" t="str">
        <x:v>Dataverse事前検証</x:v>
      </x:c>
      <x:c r="B30" s="44"/>
      <x:c r="C30" s="44"/>
      <x:c r="D30" s="272" t="n">
        <x:f>'作業計画'!P34</x:f>
        <x:v>46345</x:v>
      </x:c>
      <x:c r="E30" s="253" t="str">
        <x:f>'作業計画'!V34</x:f>
        <x:v>予定前</x:v>
      </x:c>
      <x:c r="F30" s="253"/>
      <x:c r="G30" s="30"/>
      <x:c r="H30" s="436" t="str">
        <x:v>優先して確定する項目</x:v>
      </x:c>
      <x:c r="I30" s="436"/>
      <x:c r="J30" s="436"/>
      <x:c r="K30" s="436"/>
      <x:c r="L30" s="436"/>
    </x:row>
    <x:row r="31" ht="29" customHeight="1">
      <x:c r="A31" s="44" t="str">
        <x:v>SQL Function事前検証</x:v>
      </x:c>
      <x:c r="B31" s="44"/>
      <x:c r="C31" s="44"/>
      <x:c r="D31" s="271" t="n">
        <x:f>'作業計画'!P35</x:f>
        <x:v>46344</x:v>
      </x:c>
      <x:c r="E31" s="250" t="str">
        <x:f>'作業計画'!V35</x:f>
        <x:v>予定前</x:v>
      </x:c>
      <x:c r="F31" s="250"/>
      <x:c r="G31" s="30"/>
      <x:c r="H31" s="48" t="str">
        <x:v>日程・体制：正式開始日、納期、休日、担当者数と並列実施の可否。</x:v>
      </x:c>
      <x:c r="I31" s="48"/>
      <x:c r="J31" s="48"/>
      <x:c r="K31" s="48"/>
      <x:c r="L31" s="48"/>
    </x:row>
    <x:row r="32" ht="29" customHeight="1">
      <x:c r="A32" s="44" t="str">
        <x:v>共通Notebook事前検証</x:v>
      </x:c>
      <x:c r="B32" s="44"/>
      <x:c r="C32" s="44"/>
      <x:c r="D32" s="272" t="n">
        <x:f>'作業計画'!P36</x:f>
        <x:v>46344</x:v>
      </x:c>
      <x:c r="E32" s="253" t="str">
        <x:f>'作業計画'!V36</x:f>
        <x:v>予定前</x:v>
      </x:c>
      <x:c r="F32" s="253"/>
      <x:c r="G32" s="30"/>
      <x:c r="H32" s="48"/>
      <x:c r="I32" s="48"/>
      <x:c r="J32" s="48"/>
      <x:c r="K32" s="48"/>
      <x:c r="L32" s="48"/>
    </x:row>
    <x:row r="33" ht="29" customHeight="1">
      <x:c r="A33" s="48" t="str">
        <x:v>5テーブル詳細設計完了</x:v>
      </x:c>
      <x:c r="B33" s="48"/>
      <x:c r="C33" s="48"/>
      <x:c r="D33" s="271" t="n">
        <x:f>'作業計画'!P42</x:f>
        <x:v>46363</x:v>
      </x:c>
      <x:c r="E33" s="250" t="str">
        <x:f>'作業計画'!V42</x:f>
        <x:v>予定前</x:v>
      </x:c>
      <x:c r="F33" s="250"/>
      <x:c r="G33" s="30"/>
      <x:c r="H33" s="48" t="str">
        <x:v>数量：Bronze／Silver各39件、GoldLakehouse 1～2件、Notebook5件の見込み。</x:v>
      </x:c>
      <x:c r="I33" s="48"/>
      <x:c r="J33" s="48"/>
      <x:c r="K33" s="48"/>
      <x:c r="L33" s="48"/>
    </x:row>
    <x:row r="34" ht="29" customHeight="1">
      <x:c r="A34" s="56" t="str">
        <x:v>Dataverse出力Pipeline完成</x:v>
      </x:c>
      <x:c r="B34" s="56"/>
      <x:c r="C34" s="56"/>
      <x:c r="D34" s="272" t="n">
        <x:f>'作業計画'!P73</x:f>
        <x:v>46407</x:v>
      </x:c>
      <x:c r="E34" s="253" t="str">
        <x:f>'作業計画'!V73</x:f>
        <x:v>予定前</x:v>
      </x:c>
      <x:c r="F34" s="253"/>
      <x:c r="G34" s="30"/>
      <x:c r="H34" s="48"/>
      <x:c r="I34" s="48"/>
      <x:c r="J34" s="48"/>
      <x:c r="K34" s="48"/>
      <x:c r="L34" s="48"/>
    </x:row>
    <x:row r="35" ht="29" customHeight="1">
      <x:c r="A35" s="48" t="str">
        <x:v>単体テスト移行判定</x:v>
      </x:c>
      <x:c r="B35" s="48"/>
      <x:c r="C35" s="48"/>
      <x:c r="D35" s="271" t="n">
        <x:f>'作業計画'!P88</x:f>
        <x:v>46407</x:v>
      </x:c>
      <x:c r="E35" s="250" t="str">
        <x:f>'作業計画'!V88</x:f>
        <x:v>予定前</x:v>
      </x:c>
      <x:c r="F35" s="250"/>
      <x:c r="G35" s="30"/>
      <x:c r="H35" s="44" t="str">
        <x:v>事前検証：Dataverse連携、SQL Function、別Notebook共通関数呼出し。</x:v>
      </x:c>
      <x:c r="I35" s="44"/>
      <x:c r="J35" s="44"/>
      <x:c r="K35" s="44"/>
      <x:c r="L35" s="44"/>
    </x:row>
    <x:row r="36" ht="29" customHeight="1">
      <x:c r="A36" s="56" t="str">
        <x:v>結合テスト／UAT移行判定</x:v>
      </x:c>
      <x:c r="B36" s="56"/>
      <x:c r="C36" s="56"/>
      <x:c r="D36" s="272" t="n">
        <x:f>'作業計画'!P97</x:f>
        <x:v>46441</x:v>
      </x:c>
      <x:c r="E36" s="253" t="str">
        <x:f>'作業計画'!V97</x:f>
        <x:v>予定前</x:v>
      </x:c>
      <x:c r="F36" s="253"/>
      <x:c r="G36" s="30"/>
      <x:c r="H36" s="44"/>
      <x:c r="I36" s="44"/>
      <x:c r="J36" s="44"/>
      <x:c r="K36" s="44"/>
      <x:c r="L36" s="44"/>
    </x:row>
    <x:row r="37" ht="29" customHeight="1">
      <x:c r="A37" s="48" t="str">
        <x:v>UAT受入合意</x:v>
      </x:c>
      <x:c r="B37" s="48"/>
      <x:c r="C37" s="48"/>
      <x:c r="D37" s="271" t="n">
        <x:f>'作業計画'!P104</x:f>
        <x:v>46456</x:v>
      </x:c>
      <x:c r="E37" s="250" t="str">
        <x:f>'作業計画'!V104</x:f>
        <x:v>予定前</x:v>
      </x:c>
      <x:c r="F37" s="250"/>
      <x:c r="G37" s="30"/>
      <x:c r="H37" s="48" t="str">
        <x:v>範囲：対象は5テーブル。HospitalSalesAmountは対象外。画像No.64のKT後の本番リリースは未計上。</x:v>
      </x:c>
      <x:c r="I37" s="48"/>
      <x:c r="J37" s="48"/>
      <x:c r="K37" s="48"/>
      <x:c r="L37" s="48"/>
    </x:row>
    <x:row r="38" ht="29" customHeight="1">
      <x:c r="A38" s="56" t="str">
        <x:v>Datalake運用チームへのKT</x:v>
      </x:c>
      <x:c r="B38" s="56"/>
      <x:c r="C38" s="56"/>
      <x:c r="D38" s="272" t="n">
        <x:f>'作業計画'!P106</x:f>
        <x:v>46458</x:v>
      </x:c>
      <x:c r="E38" s="253" t="str">
        <x:f>'作業計画'!V106</x:f>
        <x:v>予定前</x:v>
      </x:c>
      <x:c r="F38" s="253"/>
      <x:c r="G38" s="30"/>
      <x:c r="H38" s="48"/>
      <x:c r="I38" s="48"/>
      <x:c r="J38" s="48"/>
      <x:c r="K38" s="48"/>
      <x:c r="L38" s="48"/>
    </x:row>
    <x:row r="39" ht="29" customHeight="1">
      <x:c r="A39" s="48" t="str">
        <x:v>KT質疑・引継ぎ完了</x:v>
      </x:c>
      <x:c r="B39" s="48"/>
      <x:c r="C39" s="48"/>
      <x:c r="D39" s="271" t="n">
        <x:f>'作業計画'!P107</x:f>
        <x:v>46461</x:v>
      </x:c>
      <x:c r="E39" s="250" t="str">
        <x:f>'作業計画'!V107</x:f>
        <x:v>予定前</x:v>
      </x:c>
      <x:c r="F39" s="250"/>
      <x:c r="G39" s="30"/>
      <x:c r="H39" s="48"/>
      <x:c r="I39" s="48"/>
      <x:c r="J39" s="48"/>
      <x:c r="K39" s="48"/>
      <x:c r="L39" s="48"/>
    </x:row>
    <x:row r="40" ht="22" customHeight="1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</x:row>
    <x:row r="41" ht="22" customHeight="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</x:row>
    <x:row r="42" ht="29" customHeight="1">
      <x:c r="A42" s="436" t="str">
        <x:v>利用方法・前提</x:v>
      </x:c>
      <x:c r="B42" s="436"/>
      <x:c r="C42" s="436"/>
      <x:c r="D42" s="436"/>
      <x:c r="E42" s="436"/>
      <x:c r="F42" s="436"/>
      <x:c r="G42" s="436"/>
      <x:c r="H42" s="436"/>
      <x:c r="I42" s="436"/>
      <x:c r="J42" s="436"/>
      <x:c r="K42" s="436"/>
      <x:c r="L42" s="436"/>
    </x:row>
    <x:row r="43" ht="31" customHeight="1">
      <x:c r="A43" s="404" t="str">
        <x:v>01  「設定」で開始日・基準日・非稼働日を入力し、「作業計画」で担当・期間・先行ID・状態を確定してください。</x:v>
      </x:c>
      <x:c r="B43" s="404"/>
      <x:c r="C43" s="404"/>
      <x:c r="D43" s="404"/>
      <x:c r="E43" s="404"/>
      <x:c r="F43" s="404"/>
      <x:c r="G43" s="404"/>
      <x:c r="H43" s="404"/>
      <x:c r="I43" s="404"/>
      <x:c r="J43" s="404"/>
      <x:c r="K43" s="404"/>
      <x:c r="L43" s="404"/>
    </x:row>
    <x:row r="44" ht="31" customHeight="1">
      <x:c r="A44" s="404" t="str">
        <x:v>02  実績開始・終了、総数量・完了数量を更新すると、WBS・サマリー・週次ガントへ反映されます。</x:v>
      </x:c>
      <x:c r="B44" s="404"/>
      <x:c r="C44" s="404"/>
      <x:c r="D44" s="404"/>
      <x:c r="E44" s="404"/>
      <x:c r="F44" s="404"/>
      <x:c r="G44" s="404"/>
      <x:c r="H44" s="404"/>
      <x:c r="I44" s="404"/>
      <x:c r="J44" s="404"/>
      <x:c r="K44" s="404"/>
      <x:c r="L44" s="404"/>
    </x:row>
    <x:row r="45" ht="31" customHeight="1">
      <x:c r="A45" s="404" t="str">
        <x:v>03  日数は各タスクの経過営業日の仮見積りです。工数（人日）ではなく、要員競合の自動平準化も行いません。</x:v>
      </x:c>
      <x:c r="B45" s="404"/>
      <x:c r="C45" s="404"/>
      <x:c r="D45" s="404"/>
      <x:c r="E45" s="404"/>
      <x:c r="F45" s="404"/>
      <x:c r="G45" s="404"/>
      <x:c r="H45" s="404"/>
      <x:c r="I45" s="404"/>
      <x:c r="J45" s="404"/>
      <x:c r="K45" s="404"/>
      <x:c r="L45" s="404"/>
    </x:row>
    <x:row r="46" ht="31" customHeight="1">
      <x:c r="A46" s="404" t="str">
        <x:v>04  元資料の空欄は成果物・完了条件を補足し、テスト準備・レビュー等の追加は「反映区分」で識別しています。</x:v>
      </x:c>
      <x:c r="B46" s="404"/>
      <x:c r="C46" s="404"/>
      <x:c r="D46" s="404"/>
      <x:c r="E46" s="404"/>
      <x:c r="F46" s="404"/>
      <x:c r="G46" s="404"/>
      <x:c r="H46" s="404"/>
      <x:c r="I46" s="404"/>
      <x:c r="J46" s="404"/>
      <x:c r="K46" s="404"/>
      <x:c r="L46" s="404"/>
    </x:row>
    <x:row r="47" ht="31" customHeight="1">
      <x:c r="A47" s="404" t="str">
        <x:v>05  サンプルにある過去日付・担当・完成率は流用していません。元資料の完了2件以外は作業状態を未確認としています。</x:v>
      </x:c>
      <x:c r="B47" s="404"/>
      <x:c r="C47" s="404"/>
      <x:c r="D47" s="404"/>
      <x:c r="E47" s="404"/>
      <x:c r="F47" s="404"/>
      <x:c r="G47" s="404"/>
      <x:c r="H47" s="404"/>
      <x:c r="I47" s="404"/>
      <x:c r="J47" s="404"/>
      <x:c r="K47" s="404"/>
      <x:c r="L47" s="404"/>
    </x:row>
    <x:row r="48" ht="31" customHeight="1">
      <x:c r="A48" s="404" t="str">
        <x:v>06  ガントは26週表示です。期間外タスクが発生した場合は表示期間の追加が必要です。</x:v>
      </x:c>
      <x:c r="B48" s="404"/>
      <x:c r="C48" s="404"/>
      <x:c r="D48" s="404"/>
      <x:c r="E48" s="404"/>
      <x:c r="F48" s="404"/>
      <x:c r="G48" s="404"/>
      <x:c r="H48" s="404"/>
      <x:c r="I48" s="404"/>
      <x:c r="J48" s="404"/>
      <x:c r="K48" s="404"/>
      <x:c r="L48" s="404"/>
    </x:row>
    <x:row r="49" ht="22" customHeight="1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</x:row>
    <x:row r="50" ht="28" customHeight="1">
      <x:c r="A50" s="448" t="str">
        <x:v>週次ガント表示範囲</x:v>
      </x:c>
      <x:c r="B50" s="448"/>
      <x:c r="C50" s="448"/>
      <x:c r="D50" s="448"/>
      <x:c r="E50" s="448"/>
      <x:c r="F50" s="448"/>
      <x:c r="G50" s="448" t="str">
        <x:f>IF(MAX('作業計画'!P7:P107)&gt;'週次ガント'!AH5+6,"要確認：26週の表示範囲を超過","OK：全予定が26週以内")</x:f>
        <x:v>OK：全予定が26週以内</x:v>
      </x:c>
      <x:c r="H50" s="448"/>
      <x:c r="I50" s="448"/>
      <x:c r="J50" s="448"/>
      <x:c r="K50" s="448"/>
      <x:c r="L50" s="448"/>
    </x:row>
    <x:row r="51" ht="22" customHeight="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</x:row>
    <x:row r="52" ht="32" customHeight="1">
      <x:c r="A52" s="450" t="str">
        <x:v>出典：ユーザー提供の作業内容画像5枚（No.1～64）とWBSサンプル画像1枚。予定日・所要期間・依存・担当は本ファイルの仮定です。</x:v>
      </x:c>
      <x:c r="B52" s="450"/>
      <x:c r="C52" s="450"/>
      <x:c r="D52" s="450"/>
      <x:c r="E52" s="450"/>
      <x:c r="F52" s="450"/>
      <x:c r="G52" s="450"/>
      <x:c r="H52" s="450"/>
      <x:c r="I52" s="450"/>
      <x:c r="J52" s="450"/>
      <x:c r="K52" s="450"/>
      <x:c r="L52" s="450"/>
    </x:row>
  </x:sheetData>
  <x:mergeCells>
    <x:mergeCell ref="A1:L2"/>
    <x:mergeCell ref="A3:L3"/>
    <x:mergeCell ref="A5:C5"/>
    <x:mergeCell ref="A6:C7"/>
    <x:mergeCell ref="D5:F5"/>
    <x:mergeCell ref="D6:F7"/>
    <x:mergeCell ref="G5:I5"/>
    <x:mergeCell ref="G6:I7"/>
    <x:mergeCell ref="J5:L5"/>
    <x:mergeCell ref="J6:L7"/>
    <x:mergeCell ref="A9:C9"/>
    <x:mergeCell ref="A10:C11"/>
    <x:mergeCell ref="D9:F9"/>
    <x:mergeCell ref="D10:F11"/>
    <x:mergeCell ref="G9:I9"/>
    <x:mergeCell ref="G10:I11"/>
    <x:mergeCell ref="J9:L9"/>
    <x:mergeCell ref="J10:L11"/>
    <x:mergeCell ref="A13:L13"/>
    <x:mergeCell ref="A15:F15"/>
    <x:mergeCell ref="A26:F26"/>
    <x:mergeCell ref="A28:F28"/>
    <x:mergeCell ref="A29:C29"/>
    <x:mergeCell ref="E29:F29"/>
    <x:mergeCell ref="A30:C30"/>
    <x:mergeCell ref="E30:F30"/>
    <x:mergeCell ref="A31:C31"/>
    <x:mergeCell ref="E31:F31"/>
    <x:mergeCell ref="A32:C32"/>
    <x:mergeCell ref="E32:F32"/>
    <x:mergeCell ref="A33:C33"/>
    <x:mergeCell ref="E33:F33"/>
    <x:mergeCell ref="A34:C34"/>
    <x:mergeCell ref="E34:F34"/>
    <x:mergeCell ref="A35:C35"/>
    <x:mergeCell ref="E35:F35"/>
    <x:mergeCell ref="A36:C36"/>
    <x:mergeCell ref="E36:F36"/>
    <x:mergeCell ref="A37:C37"/>
    <x:mergeCell ref="E37:F37"/>
    <x:mergeCell ref="A38:C38"/>
    <x:mergeCell ref="E38:F38"/>
    <x:mergeCell ref="A39:C39"/>
    <x:mergeCell ref="E39:F39"/>
    <x:mergeCell ref="H30:L30"/>
    <x:mergeCell ref="H31:L32"/>
    <x:mergeCell ref="H33:L34"/>
    <x:mergeCell ref="H35:L36"/>
    <x:mergeCell ref="H37:L39"/>
    <x:mergeCell ref="A42:L42"/>
    <x:mergeCell ref="A43:L43"/>
    <x:mergeCell ref="A44:L44"/>
    <x:mergeCell ref="A45:L45"/>
    <x:mergeCell ref="A46:L46"/>
    <x:mergeCell ref="A47:L47"/>
    <x:mergeCell ref="A48:L48"/>
    <x:mergeCell ref="A50:F50"/>
    <x:mergeCell ref="G50:L50"/>
    <x:mergeCell ref="A52:L52"/>
  </x:mergeCells>
  <x:conditionalFormatting sqref="D17:D24">
    <x:cfRule type="dataBar" priority="1">
      <x:dataBar>
        <x:cfvo type="min"/>
        <x:cfvo type="max"/>
        <x:color rgb="FF7AA66B"/>
      </x:dataBar>
      <x:extLst>
        <x:ext xmlns:x14="http://schemas.microsoft.com/office/spreadsheetml/2009/9/main" uri="{B025F937-C7B1-47D3-B67F-A62EFF666E3E}">
          <x14:id>{496B2652-D7B1-29C8-0E94-41832D6F3B0B}</x14:id>
        </x:ext>
      </x:extLst>
    </x:cfRule>
  </x:conditionalFormatting>
  <x:conditionalFormatting sqref="G10:I11">
    <x:cfRule type="expression" dxfId="7" priority="2">
      <x:formula>G10&gt;0</x:formula>
    </x:cfRule>
  </x:conditionalFormatting>
  <x:pageMargins left="0.7" right="0.7" top="0.75" bottom="0.75" header="0.3" footer="0.3"/>
  <x:drawing xmlns:r="http://schemas.openxmlformats.org/officeDocument/2006/relationships" r:id="R560185eb6b424a38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96B2652-D7B1-29C8-0E94-41832D6F3B0B}">
            <x14:dataBar gradient="0">
              <x14:cfvo type="min"/>
              <x14:cfvo type="max"/>
              <x14:fillColor rgb="FF7AA66B"/>
            </x14:dataBar>
          </x14:cfRule>
          <xm:sqref>D17:D24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workbookViewId="0">
      <x:pane xSplit="3" ySplit="6" topLeftCell="D7" activePane="bottomRight" state="frozen"/>
    </x:sheetView>
  </x:sheetViews>
  <x:sheetFormatPr defaultRowHeight="15"/>
  <x:cols>
    <x:col min="1" max="1" width="10" hidden="0" customWidth="1"/>
    <x:col min="2" max="2" width="19" hidden="0" customWidth="1"/>
    <x:col min="3" max="3" width="46" hidden="0" customWidth="1"/>
    <x:col min="4" max="4" width="27" hidden="0" customWidth="1"/>
    <x:col min="5" max="5" width="27" hidden="0" customWidth="1"/>
    <x:col min="6" max="6" width="9" hidden="0" customWidth="1"/>
    <x:col min="7" max="7" width="2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9" hidden="0" customWidth="1"/>
    <x:col min="13" max="13" width="24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9" hidden="0" customWidth="1"/>
    <x:col min="19" max="19" width="9" hidden="0" customWidth="1"/>
    <x:col min="20" max="20" width="9" hidden="0" customWidth="1"/>
    <x:col min="21" max="21" width="24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9" hidden="0" customWidth="1"/>
    <x:col min="27" max="27" width="9" hidden="0" customWidth="1"/>
    <x:col min="28" max="28" width="9" hidden="0" customWidth="1"/>
    <x:col min="29" max="29" width="24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9" hidden="0" customWidth="1"/>
    <x:col min="35" max="35" width="9" hidden="0" customWidth="1"/>
    <x:col min="36" max="36" width="9" hidden="0" customWidth="1"/>
    <x:col min="37" max="37" width="24" hidden="0" customWidth="1"/>
    <x:col min="38" max="38" width="18" hidden="0" customWidth="1"/>
    <x:col min="39" max="39" width="24" hidden="0" customWidth="1"/>
    <x:col min="40" max="40" width="46" hidden="0" customWidth="1"/>
    <x:col min="41" max="41" width="54" hidden="0" customWidth="1"/>
    <x:col min="42" max="42" width="28" hidden="0" customWidth="1"/>
  </x:cols>
  <x:sheetData>
    <x:row r="1" ht="32" customHeight="1">
      <x:c r="A1" s="41" t="str">
        <x:v>Fabric移行 WBS｜サンプル形式（設計・開発・テスト・全体）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  <x:c r="AA1" s="41"/>
      <x:c r="AB1" s="41"/>
      <x:c r="AC1" s="41"/>
      <x:c r="AD1" s="41"/>
      <x:c r="AE1" s="41"/>
      <x:c r="AF1" s="41"/>
      <x:c r="AG1" s="41"/>
      <x:c r="AH1" s="41"/>
      <x:c r="AI1" s="41"/>
      <x:c r="AJ1" s="41"/>
      <x:c r="AK1" s="41"/>
      <x:c r="AL1" s="41"/>
      <x:c r="AM1" s="41"/>
      <x:c r="AN1" s="41"/>
      <x:c r="AO1" s="41"/>
      <x:c r="AP1" s="41"/>
    </x:row>
    <x:row r="2" ht="28" customHeight="1">
      <x:c r="A2" s="49" t="str">
        <x:v>参照用：変更は「作業計画」で実施。準備・要件は設計欄、事前検証は開発欄、UATはテスト欄に表示。KTは全体欄に表示します。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  <x:c r="AA2" s="49"/>
      <x:c r="AB2" s="49"/>
      <x:c r="AC2" s="49"/>
      <x:c r="AD2" s="49"/>
      <x:c r="AE2" s="49"/>
      <x:c r="AF2" s="49"/>
      <x:c r="AG2" s="49"/>
      <x:c r="AH2" s="49"/>
      <x:c r="AI2" s="49"/>
      <x:c r="AJ2" s="49"/>
      <x:c r="AK2" s="49"/>
      <x:c r="AL2" s="49"/>
      <x:c r="AM2" s="49"/>
      <x:c r="AN2" s="49"/>
      <x:c r="AO2" s="49"/>
      <x:c r="AP2" s="49"/>
    </x:row>
    <x:row r="3" ht="22" customHeight="1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  <x:c r="AC3" s="30"/>
      <x:c r="AD3" s="30"/>
      <x:c r="AE3" s="30"/>
      <x:c r="AF3" s="30"/>
      <x:c r="AG3" s="30"/>
      <x:c r="AH3" s="30"/>
      <x:c r="AI3" s="30"/>
      <x:c r="AJ3" s="30"/>
      <x:c r="AK3" s="30"/>
      <x:c r="AL3" s="30"/>
      <x:c r="AM3" s="30"/>
      <x:c r="AN3" s="30"/>
      <x:c r="AO3" s="30"/>
      <x:c r="AP3" s="30"/>
    </x:row>
    <x:row r="4" ht="26" customHeight="1">
      <x:c r="A4" s="212" t="str">
        <x:v>作業内容</x:v>
      </x:c>
      <x:c r="B4" s="212"/>
      <x:c r="C4" s="212"/>
      <x:c r="D4" s="212"/>
      <x:c r="E4" s="212"/>
      <x:c r="F4" s="218" t="str">
        <x:v>作業状態</x:v>
      </x:c>
      <x:c r="G4" s="218"/>
      <x:c r="H4" s="224" t="str">
        <x:v>設計（準備・要件含む）</x:v>
      </x:c>
      <x:c r="I4" s="224"/>
      <x:c r="J4" s="224"/>
      <x:c r="K4" s="224"/>
      <x:c r="L4" s="224"/>
      <x:c r="M4" s="224"/>
      <x:c r="N4" s="230" t="str">
        <x:v>開発（事前検証含む）</x:v>
      </x:c>
      <x:c r="O4" s="230"/>
      <x:c r="P4" s="230"/>
      <x:c r="Q4" s="230"/>
      <x:c r="R4" s="230"/>
      <x:c r="S4" s="230"/>
      <x:c r="T4" s="230"/>
      <x:c r="U4" s="230"/>
      <x:c r="V4" s="236" t="str">
        <x:v>テスト（UAT含む）</x:v>
      </x:c>
      <x:c r="W4" s="236"/>
      <x:c r="X4" s="236"/>
      <x:c r="Y4" s="236"/>
      <x:c r="Z4" s="236"/>
      <x:c r="AA4" s="236"/>
      <x:c r="AB4" s="236"/>
      <x:c r="AC4" s="236"/>
      <x:c r="AD4" s="242" t="str">
        <x:v>全体スケジュール（KT含む）</x:v>
      </x:c>
      <x:c r="AE4" s="242"/>
      <x:c r="AF4" s="242"/>
      <x:c r="AG4" s="242"/>
      <x:c r="AH4" s="242"/>
      <x:c r="AI4" s="242"/>
      <x:c r="AJ4" s="242"/>
      <x:c r="AK4" s="242"/>
      <x:c r="AL4" s="212" t="str">
        <x:v>出典・依存・成果物</x:v>
      </x:c>
      <x:c r="AM4" s="212"/>
      <x:c r="AN4" s="212"/>
      <x:c r="AO4" s="212"/>
      <x:c r="AP4" s="212"/>
    </x:row>
    <x:row r="5" ht="26" customHeight="1">
      <x:c r="A5" s="212"/>
      <x:c r="B5" s="212"/>
      <x:c r="C5" s="212"/>
      <x:c r="D5" s="212"/>
      <x:c r="E5" s="212"/>
      <x:c r="F5" s="218"/>
      <x:c r="G5" s="218"/>
      <x:c r="H5" s="224" t="str">
        <x:v>予定</x:v>
      </x:c>
      <x:c r="I5" s="224"/>
      <x:c r="J5" s="224" t="str">
        <x:v>実績</x:v>
      </x:c>
      <x:c r="K5" s="224"/>
      <x:c r="L5" s="224" t="str">
        <x:v>進捗</x:v>
      </x:c>
      <x:c r="M5" s="224"/>
      <x:c r="N5" s="230" t="str">
        <x:v>予定</x:v>
      </x:c>
      <x:c r="O5" s="230"/>
      <x:c r="P5" s="230" t="str">
        <x:v>実績</x:v>
      </x:c>
      <x:c r="Q5" s="230"/>
      <x:c r="R5" s="230" t="str">
        <x:v>完成率</x:v>
      </x:c>
      <x:c r="S5" s="230"/>
      <x:c r="T5" s="230"/>
      <x:c r="U5" s="230" t="str">
        <x:v>判定</x:v>
      </x:c>
      <x:c r="V5" s="236" t="str">
        <x:v>予定</x:v>
      </x:c>
      <x:c r="W5" s="236"/>
      <x:c r="X5" s="236" t="str">
        <x:v>実績</x:v>
      </x:c>
      <x:c r="Y5" s="236"/>
      <x:c r="Z5" s="236" t="str">
        <x:v>完成率</x:v>
      </x:c>
      <x:c r="AA5" s="236"/>
      <x:c r="AB5" s="236"/>
      <x:c r="AC5" s="236" t="str">
        <x:v>判定</x:v>
      </x:c>
      <x:c r="AD5" s="242" t="str">
        <x:v>予定</x:v>
      </x:c>
      <x:c r="AE5" s="242"/>
      <x:c r="AF5" s="242" t="str">
        <x:v>実績</x:v>
      </x:c>
      <x:c r="AG5" s="242"/>
      <x:c r="AH5" s="242" t="str">
        <x:v>完成率</x:v>
      </x:c>
      <x:c r="AI5" s="242"/>
      <x:c r="AJ5" s="242"/>
      <x:c r="AK5" s="242" t="str">
        <x:v>判定</x:v>
      </x:c>
      <x:c r="AL5" s="212"/>
      <x:c r="AM5" s="212"/>
      <x:c r="AN5" s="212"/>
      <x:c r="AO5" s="212"/>
      <x:c r="AP5" s="212"/>
    </x:row>
    <x:row r="6" ht="34" customHeight="1">
      <x:c r="A6" s="212" t="str">
        <x:v>タスクID</x:v>
      </x:c>
      <x:c r="B6" s="212" t="str">
        <x:v>段階</x:v>
      </x:c>
      <x:c r="C6" s="212" t="str">
        <x:v>作業内容</x:v>
      </x:c>
      <x:c r="D6" s="212" t="str">
        <x:v>担当（仮）</x:v>
      </x:c>
      <x:c r="E6" s="212" t="str">
        <x:v>導入システム</x:v>
      </x:c>
      <x:c r="F6" s="218" t="str">
        <x:v>重要度</x:v>
      </x:c>
      <x:c r="G6" s="218" t="str">
        <x:v>ステータス</x:v>
      </x:c>
      <x:c r="H6" s="224" t="str">
        <x:v>開始日</x:v>
      </x:c>
      <x:c r="I6" s="224" t="str">
        <x:v>終了日</x:v>
      </x:c>
      <x:c r="J6" s="224" t="str">
        <x:v>開始日</x:v>
      </x:c>
      <x:c r="K6" s="224" t="str">
        <x:v>終了日</x:v>
      </x:c>
      <x:c r="L6" s="224" t="str">
        <x:v>完成率</x:v>
      </x:c>
      <x:c r="M6" s="224" t="str">
        <x:v>正常／遅延</x:v>
      </x:c>
      <x:c r="N6" s="230" t="str">
        <x:v>開始日</x:v>
      </x:c>
      <x:c r="O6" s="230" t="str">
        <x:v>終了日</x:v>
      </x:c>
      <x:c r="P6" s="230" t="str">
        <x:v>開始日</x:v>
      </x:c>
      <x:c r="Q6" s="230" t="str">
        <x:v>終了日</x:v>
      </x:c>
      <x:c r="R6" s="230" t="str">
        <x:v>総数</x:v>
      </x:c>
      <x:c r="S6" s="230" t="str">
        <x:v>完了数</x:v>
      </x:c>
      <x:c r="T6" s="230" t="str">
        <x:v>完成率</x:v>
      </x:c>
      <x:c r="U6" s="230" t="str">
        <x:v>正常／遅延</x:v>
      </x:c>
      <x:c r="V6" s="236" t="str">
        <x:v>開始日</x:v>
      </x:c>
      <x:c r="W6" s="236" t="str">
        <x:v>終了日</x:v>
      </x:c>
      <x:c r="X6" s="236" t="str">
        <x:v>開始日</x:v>
      </x:c>
      <x:c r="Y6" s="236" t="str">
        <x:v>終了日</x:v>
      </x:c>
      <x:c r="Z6" s="236" t="str">
        <x:v>総数</x:v>
      </x:c>
      <x:c r="AA6" s="236" t="str">
        <x:v>完了数</x:v>
      </x:c>
      <x:c r="AB6" s="236" t="str">
        <x:v>完成率</x:v>
      </x:c>
      <x:c r="AC6" s="236" t="str">
        <x:v>正常／遅延</x:v>
      </x:c>
      <x:c r="AD6" s="242" t="str">
        <x:v>開始日</x:v>
      </x:c>
      <x:c r="AE6" s="242" t="str">
        <x:v>終了日</x:v>
      </x:c>
      <x:c r="AF6" s="242" t="str">
        <x:v>開始日</x:v>
      </x:c>
      <x:c r="AG6" s="242" t="str">
        <x:v>終了日</x:v>
      </x:c>
      <x:c r="AH6" s="242" t="str">
        <x:v>総数</x:v>
      </x:c>
      <x:c r="AI6" s="242" t="str">
        <x:v>完了数</x:v>
      </x:c>
      <x:c r="AJ6" s="242" t="str">
        <x:v>完成率</x:v>
      </x:c>
      <x:c r="AK6" s="242" t="str">
        <x:v>正常／遅延</x:v>
      </x:c>
      <x:c r="AL6" s="212" t="str">
        <x:v>元資料No.</x:v>
      </x:c>
      <x:c r="AM6" s="212" t="str">
        <x:v>先行タスクID</x:v>
      </x:c>
      <x:c r="AN6" s="212" t="str">
        <x:v>成果物・完了条件</x:v>
      </x:c>
      <x:c r="AO6" s="212" t="str">
        <x:v>確認事項・メモ</x:v>
      </x:c>
      <x:c r="AP6" s="212" t="str">
        <x:v>反映区分</x:v>
      </x:c>
    </x:row>
    <x:row r="7" ht="54" customHeight="1">
      <x:c r="A7" s="456" t="str">
        <x:f>'作業計画'!A7</x:f>
        <x:v>00001</x:v>
      </x:c>
      <x:c r="B7" s="318" t="str">
        <x:f>'作業計画'!B7</x:f>
        <x:v>01.準備</x:v>
      </x:c>
      <x:c r="C7" s="247" t="str">
        <x:f>'作業計画'!C7</x:f>
        <x:v>進め方・役割分担・課題管理ルールの整理</x:v>
      </x:c>
      <x:c r="D7" s="247" t="str">
        <x:f>'作業計画'!D7</x:f>
        <x:v>PM（要確定）</x:v>
      </x:c>
      <x:c r="E7" s="247" t="str">
        <x:f>'作業計画'!E7</x:f>
        <x:v>共通</x:v>
      </x:c>
      <x:c r="F7" s="287" t="str">
        <x:f>'作業計画'!F7</x:f>
        <x:v>1.高</x:v>
      </x:c>
      <x:c r="G7" s="287" t="str">
        <x:f>'作業計画'!G7</x:f>
        <x:v>00.未確認</x:v>
      </x:c>
      <x:c r="H7" s="302" t="n">
        <x:f>IF('作業計画'!$H7="設計",IF('作業計画'!O7="","",'作業計画'!O7),"")</x:f>
        <x:v>46314</x:v>
      </x:c>
      <x:c r="I7" s="302" t="n">
        <x:f>IF('作業計画'!$H7="設計",IF('作業計画'!P7="","",'作業計画'!P7),"")</x:f>
        <x:v>46315</x:v>
      </x:c>
      <x:c r="J7" s="302" t="str">
        <x:f>IF('作業計画'!$H7="設計",IF('作業計画'!Q7="","",'作業計画'!Q7),"")</x:f>
      </x:c>
      <x:c r="K7" s="302" t="str">
        <x:f>IF('作業計画'!$H7="設計",IF('作業計画'!R7="","",'作業計画'!R7),"")</x:f>
      </x:c>
      <x:c r="L7" s="303" t="n">
        <x:f>IF('作業計画'!$H7="設計",'作業計画'!U7,"")</x:f>
        <x:v>0</x:v>
      </x:c>
      <x:c r="M7" s="287" t="str">
        <x:f>IF('作業計画'!$H7="設計",'作業計画'!V7,"")</x:f>
        <x:v>予定前</x:v>
      </x:c>
      <x:c r="N7" s="302" t="str">
        <x:f>IF('作業計画'!$H7="開発",IF('作業計画'!O7="","",'作業計画'!O7),"")</x:f>
      </x:c>
      <x:c r="O7" s="302" t="str">
        <x:f>IF('作業計画'!$H7="開発",IF('作業計画'!P7="","",'作業計画'!P7),"")</x:f>
      </x:c>
      <x:c r="P7" s="302" t="str">
        <x:f>IF('作業計画'!$H7="開発",IF('作業計画'!Q7="","",'作業計画'!Q7),"")</x:f>
      </x:c>
      <x:c r="Q7" s="302" t="str">
        <x:f>IF('作業計画'!$H7="開発",IF('作業計画'!R7="","",'作業計画'!R7),"")</x:f>
      </x:c>
      <x:c r="R7" s="287" t="str">
        <x:f>IF('作業計画'!$H7="開発",'作業計画'!S7,"")</x:f>
      </x:c>
      <x:c r="S7" s="287" t="str">
        <x:f>IF('作業計画'!$H7="開発",'作業計画'!T7,"")</x:f>
      </x:c>
      <x:c r="T7" s="303" t="str">
        <x:f>IF('作業計画'!$H7="開発",'作業計画'!U7,"")</x:f>
      </x:c>
      <x:c r="U7" s="287" t="str">
        <x:f>IF('作業計画'!$H7="開発",'作業計画'!V7,"")</x:f>
      </x:c>
      <x:c r="V7" s="302" t="str">
        <x:f>IF('作業計画'!$H7="テスト",IF('作業計画'!O7="","",'作業計画'!O7),"")</x:f>
      </x:c>
      <x:c r="W7" s="302" t="str">
        <x:f>IF('作業計画'!$H7="テスト",IF('作業計画'!P7="","",'作業計画'!P7),"")</x:f>
      </x:c>
      <x:c r="X7" s="302" t="str">
        <x:f>IF('作業計画'!$H7="テスト",IF('作業計画'!Q7="","",'作業計画'!Q7),"")</x:f>
      </x:c>
      <x:c r="Y7" s="302" t="str">
        <x:f>IF('作業計画'!$H7="テスト",IF('作業計画'!R7="","",'作業計画'!R7),"")</x:f>
      </x:c>
      <x:c r="Z7" s="287" t="str">
        <x:f>IF('作業計画'!$H7="テスト",'作業計画'!S7,"")</x:f>
      </x:c>
      <x:c r="AA7" s="287" t="str">
        <x:f>IF('作業計画'!$H7="テスト",'作業計画'!T7,"")</x:f>
      </x:c>
      <x:c r="AB7" s="303" t="str">
        <x:f>IF('作業計画'!$H7="テスト",'作業計画'!U7,"")</x:f>
      </x:c>
      <x:c r="AC7" s="287" t="str">
        <x:f>IF('作業計画'!$H7="テスト",'作業計画'!V7,"")</x:f>
      </x:c>
      <x:c r="AD7" s="302" t="n">
        <x:f>IF('作業計画'!O7="","",'作業計画'!O7)</x:f>
        <x:v>46314</x:v>
      </x:c>
      <x:c r="AE7" s="302" t="n">
        <x:f>IF('作業計画'!P7="","",'作業計画'!P7)</x:f>
        <x:v>46315</x:v>
      </x:c>
      <x:c r="AF7" s="302" t="str">
        <x:f>IF('作業計画'!Q7="","",'作業計画'!Q7)</x:f>
      </x:c>
      <x:c r="AG7" s="302" t="str">
        <x:f>IF('作業計画'!R7="","",'作業計画'!R7)</x:f>
      </x:c>
      <x:c r="AH7" s="287" t="n">
        <x:f>'作業計画'!S7</x:f>
        <x:v>1</x:v>
      </x:c>
      <x:c r="AI7" s="287" t="n">
        <x:f>'作業計画'!T7</x:f>
        <x:v>0</x:v>
      </x:c>
      <x:c r="AJ7" s="303" t="n">
        <x:f>'作業計画'!U7</x:f>
        <x:v>0</x:v>
      </x:c>
      <x:c r="AK7" s="287" t="str">
        <x:f>'作業計画'!V7</x:f>
        <x:v>予定前</x:v>
      </x:c>
      <x:c r="AL7" s="287" t="str">
        <x:f>'作業計画'!W7</x:f>
        <x:v>1</x:v>
      </x:c>
      <x:c r="AM7" s="287" t="str">
        <x:f>'作業計画'!J7&amp;IF('作業計画'!K7="",""," / "&amp;'作業計画'!K7)&amp;IF('作業計画'!L7="",""," / "&amp;'作業計画'!L7)</x:f>
      </x:c>
      <x:c r="AN7" s="247" t="str">
        <x:f>'作業計画'!Y7</x:f>
        <x:v>体制・会議体・課題管理・承認ルートを合意</x:v>
      </x:c>
      <x:c r="AO7" s="247" t="str">
        <x:f>IF('作業計画'!Z7="","",'作業計画'!Z7)</x:f>
      </x:c>
      <x:c r="AP7" s="248" t="str">
        <x:f>'作業計画'!X7</x:f>
        <x:v>原資料展開</x:v>
      </x:c>
    </x:row>
    <x:row r="8" ht="54" customHeight="1">
      <x:c r="A8" s="457" t="str">
        <x:f>'作業計画'!A8</x:f>
        <x:v>00002</x:v>
      </x:c>
      <x:c r="B8" s="320" t="str">
        <x:f>'作業計画'!B8</x:f>
        <x:v>01.準備</x:v>
      </x:c>
      <x:c r="C8" s="250" t="str">
        <x:f>'作業計画'!C8</x:f>
        <x:v>対象5テーブルと開発スコープの確定</x:v>
      </x:c>
      <x:c r="D8" s="250" t="str">
        <x:f>'作業計画'!D8</x:f>
        <x:v>PM／業務担当（要確定）</x:v>
      </x:c>
      <x:c r="E8" s="250" t="str">
        <x:f>'作業計画'!E8</x:f>
        <x:v>Dataiku／Fabric</x:v>
      </x:c>
      <x:c r="F8" s="289" t="str">
        <x:f>'作業計画'!F8</x:f>
        <x:v>1.高</x:v>
      </x:c>
      <x:c r="G8" s="289" t="str">
        <x:f>'作業計画'!G8</x:f>
        <x:v>00.未確認</x:v>
      </x:c>
      <x:c r="H8" s="304" t="n">
        <x:f>IF('作業計画'!$H8="設計",IF('作業計画'!O8="","",'作業計画'!O8),"")</x:f>
        <x:v>46316</x:v>
      </x:c>
      <x:c r="I8" s="304" t="n">
        <x:f>IF('作業計画'!$H8="設計",IF('作業計画'!P8="","",'作業計画'!P8),"")</x:f>
        <x:v>46317</x:v>
      </x:c>
      <x:c r="J8" s="304" t="str">
        <x:f>IF('作業計画'!$H8="設計",IF('作業計画'!Q8="","",'作業計画'!Q8),"")</x:f>
      </x:c>
      <x:c r="K8" s="304" t="str">
        <x:f>IF('作業計画'!$H8="設計",IF('作業計画'!R8="","",'作業計画'!R8),"")</x:f>
      </x:c>
      <x:c r="L8" s="305" t="n">
        <x:f>IF('作業計画'!$H8="設計",'作業計画'!U8,"")</x:f>
        <x:v>0</x:v>
      </x:c>
      <x:c r="M8" s="289" t="str">
        <x:f>IF('作業計画'!$H8="設計",'作業計画'!V8,"")</x:f>
        <x:v>予定前</x:v>
      </x:c>
      <x:c r="N8" s="304" t="str">
        <x:f>IF('作業計画'!$H8="開発",IF('作業計画'!O8="","",'作業計画'!O8),"")</x:f>
      </x:c>
      <x:c r="O8" s="304" t="str">
        <x:f>IF('作業計画'!$H8="開発",IF('作業計画'!P8="","",'作業計画'!P8),"")</x:f>
      </x:c>
      <x:c r="P8" s="304" t="str">
        <x:f>IF('作業計画'!$H8="開発",IF('作業計画'!Q8="","",'作業計画'!Q8),"")</x:f>
      </x:c>
      <x:c r="Q8" s="304" t="str">
        <x:f>IF('作業計画'!$H8="開発",IF('作業計画'!R8="","",'作業計画'!R8),"")</x:f>
      </x:c>
      <x:c r="R8" s="289" t="str">
        <x:f>IF('作業計画'!$H8="開発",'作業計画'!S8,"")</x:f>
      </x:c>
      <x:c r="S8" s="289" t="str">
        <x:f>IF('作業計画'!$H8="開発",'作業計画'!T8,"")</x:f>
      </x:c>
      <x:c r="T8" s="305" t="str">
        <x:f>IF('作業計画'!$H8="開発",'作業計画'!U8,"")</x:f>
      </x:c>
      <x:c r="U8" s="289" t="str">
        <x:f>IF('作業計画'!$H8="開発",'作業計画'!V8,"")</x:f>
      </x:c>
      <x:c r="V8" s="304" t="str">
        <x:f>IF('作業計画'!$H8="テスト",IF('作業計画'!O8="","",'作業計画'!O8),"")</x:f>
      </x:c>
      <x:c r="W8" s="304" t="str">
        <x:f>IF('作業計画'!$H8="テスト",IF('作業計画'!P8="","",'作業計画'!P8),"")</x:f>
      </x:c>
      <x:c r="X8" s="304" t="str">
        <x:f>IF('作業計画'!$H8="テスト",IF('作業計画'!Q8="","",'作業計画'!Q8),"")</x:f>
      </x:c>
      <x:c r="Y8" s="304" t="str">
        <x:f>IF('作業計画'!$H8="テスト",IF('作業計画'!R8="","",'作業計画'!R8),"")</x:f>
      </x:c>
      <x:c r="Z8" s="289" t="str">
        <x:f>IF('作業計画'!$H8="テスト",'作業計画'!S8,"")</x:f>
      </x:c>
      <x:c r="AA8" s="289" t="str">
        <x:f>IF('作業計画'!$H8="テスト",'作業計画'!T8,"")</x:f>
      </x:c>
      <x:c r="AB8" s="305" t="str">
        <x:f>IF('作業計画'!$H8="テスト",'作業計画'!U8,"")</x:f>
      </x:c>
      <x:c r="AC8" s="289" t="str">
        <x:f>IF('作業計画'!$H8="テスト",'作業計画'!V8,"")</x:f>
      </x:c>
      <x:c r="AD8" s="304" t="n">
        <x:f>IF('作業計画'!O8="","",'作業計画'!O8)</x:f>
        <x:v>46316</x:v>
      </x:c>
      <x:c r="AE8" s="304" t="n">
        <x:f>IF('作業計画'!P8="","",'作業計画'!P8)</x:f>
        <x:v>46317</x:v>
      </x:c>
      <x:c r="AF8" s="304" t="str">
        <x:f>IF('作業計画'!Q8="","",'作業計画'!Q8)</x:f>
      </x:c>
      <x:c r="AG8" s="304" t="str">
        <x:f>IF('作業計画'!R8="","",'作業計画'!R8)</x:f>
      </x:c>
      <x:c r="AH8" s="289" t="n">
        <x:f>'作業計画'!S8</x:f>
        <x:v>1</x:v>
      </x:c>
      <x:c r="AI8" s="289" t="n">
        <x:f>'作業計画'!T8</x:f>
        <x:v>0</x:v>
      </x:c>
      <x:c r="AJ8" s="305" t="n">
        <x:f>'作業計画'!U8</x:f>
        <x:v>0</x:v>
      </x:c>
      <x:c r="AK8" s="289" t="str">
        <x:f>'作業計画'!V8</x:f>
        <x:v>予定前</x:v>
      </x:c>
      <x:c r="AL8" s="289" t="str">
        <x:f>'作業計画'!W8</x:f>
        <x:v>2</x:v>
      </x:c>
      <x:c r="AM8" s="289" t="str">
        <x:f>'作業計画'!J8&amp;IF('作業計画'!K8="",""," / "&amp;'作業計画'!K8)&amp;IF('作業計画'!L8="",""," / "&amp;'作業計画'!L8)</x:f>
        <x:v>00001</x:v>
      </x:c>
      <x:c r="AN8" s="250" t="str">
        <x:f>'作業計画'!Y8</x:f>
        <x:v>Product等5テーブルを対象として合意</x:v>
      </x:c>
      <x:c r="AO8" s="250" t="str">
        <x:f>IF('作業計画'!Z8="","",'作業計画'!Z8)</x:f>
        <x:v>HospitalSalesAmountは対象外。</x:v>
      </x:c>
      <x:c r="AP8" s="251" t="str">
        <x:f>'作業計画'!X8</x:f>
        <x:v>原資料展開</x:v>
      </x:c>
    </x:row>
    <x:row r="9" ht="54" customHeight="1">
      <x:c r="A9" s="458" t="str">
        <x:f>'作業計画'!A9</x:f>
        <x:v>00003</x:v>
      </x:c>
      <x:c r="B9" s="320" t="str">
        <x:f>'作業計画'!B9</x:f>
        <x:v>01.準備</x:v>
      </x:c>
      <x:c r="C9" s="253" t="str">
        <x:f>'作業計画'!C9</x:f>
        <x:v>目的・前提条件・完了条件の共有</x:v>
      </x:c>
      <x:c r="D9" s="253" t="str">
        <x:f>'作業計画'!D9</x:f>
        <x:v>PM（要確定）</x:v>
      </x:c>
      <x:c r="E9" s="253" t="str">
        <x:f>'作業計画'!E9</x:f>
        <x:v>共通</x:v>
      </x:c>
      <x:c r="F9" s="291" t="str">
        <x:f>'作業計画'!F9</x:f>
        <x:v>2.中</x:v>
      </x:c>
      <x:c r="G9" s="291" t="str">
        <x:f>'作業計画'!G9</x:f>
        <x:v>00.未確認</x:v>
      </x:c>
      <x:c r="H9" s="306" t="n">
        <x:f>IF('作業計画'!$H9="設計",IF('作業計画'!O9="","",'作業計画'!O9),"")</x:f>
        <x:v>46318</x:v>
      </x:c>
      <x:c r="I9" s="306" t="n">
        <x:f>IF('作業計画'!$H9="設計",IF('作業計画'!P9="","",'作業計画'!P9),"")</x:f>
        <x:v>46318</x:v>
      </x:c>
      <x:c r="J9" s="306" t="str">
        <x:f>IF('作業計画'!$H9="設計",IF('作業計画'!Q9="","",'作業計画'!Q9),"")</x:f>
      </x:c>
      <x:c r="K9" s="306" t="str">
        <x:f>IF('作業計画'!$H9="設計",IF('作業計画'!R9="","",'作業計画'!R9),"")</x:f>
      </x:c>
      <x:c r="L9" s="307" t="n">
        <x:f>IF('作業計画'!$H9="設計",'作業計画'!U9,"")</x:f>
        <x:v>0</x:v>
      </x:c>
      <x:c r="M9" s="291" t="str">
        <x:f>IF('作業計画'!$H9="設計",'作業計画'!V9,"")</x:f>
        <x:v>予定前</x:v>
      </x:c>
      <x:c r="N9" s="306" t="str">
        <x:f>IF('作業計画'!$H9="開発",IF('作業計画'!O9="","",'作業計画'!O9),"")</x:f>
      </x:c>
      <x:c r="O9" s="306" t="str">
        <x:f>IF('作業計画'!$H9="開発",IF('作業計画'!P9="","",'作業計画'!P9),"")</x:f>
      </x:c>
      <x:c r="P9" s="306" t="str">
        <x:f>IF('作業計画'!$H9="開発",IF('作業計画'!Q9="","",'作業計画'!Q9),"")</x:f>
      </x:c>
      <x:c r="Q9" s="306" t="str">
        <x:f>IF('作業計画'!$H9="開発",IF('作業計画'!R9="","",'作業計画'!R9),"")</x:f>
      </x:c>
      <x:c r="R9" s="291" t="str">
        <x:f>IF('作業計画'!$H9="開発",'作業計画'!S9,"")</x:f>
      </x:c>
      <x:c r="S9" s="291" t="str">
        <x:f>IF('作業計画'!$H9="開発",'作業計画'!T9,"")</x:f>
      </x:c>
      <x:c r="T9" s="307" t="str">
        <x:f>IF('作業計画'!$H9="開発",'作業計画'!U9,"")</x:f>
      </x:c>
      <x:c r="U9" s="291" t="str">
        <x:f>IF('作業計画'!$H9="開発",'作業計画'!V9,"")</x:f>
      </x:c>
      <x:c r="V9" s="306" t="str">
        <x:f>IF('作業計画'!$H9="テスト",IF('作業計画'!O9="","",'作業計画'!O9),"")</x:f>
      </x:c>
      <x:c r="W9" s="306" t="str">
        <x:f>IF('作業計画'!$H9="テスト",IF('作業計画'!P9="","",'作業計画'!P9),"")</x:f>
      </x:c>
      <x:c r="X9" s="306" t="str">
        <x:f>IF('作業計画'!$H9="テスト",IF('作業計画'!Q9="","",'作業計画'!Q9),"")</x:f>
      </x:c>
      <x:c r="Y9" s="306" t="str">
        <x:f>IF('作業計画'!$H9="テスト",IF('作業計画'!R9="","",'作業計画'!R9),"")</x:f>
      </x:c>
      <x:c r="Z9" s="291" t="str">
        <x:f>IF('作業計画'!$H9="テスト",'作業計画'!S9,"")</x:f>
      </x:c>
      <x:c r="AA9" s="291" t="str">
        <x:f>IF('作業計画'!$H9="テスト",'作業計画'!T9,"")</x:f>
      </x:c>
      <x:c r="AB9" s="307" t="str">
        <x:f>IF('作業計画'!$H9="テスト",'作業計画'!U9,"")</x:f>
      </x:c>
      <x:c r="AC9" s="291" t="str">
        <x:f>IF('作業計画'!$H9="テスト",'作業計画'!V9,"")</x:f>
      </x:c>
      <x:c r="AD9" s="306" t="n">
        <x:f>IF('作業計画'!O9="","",'作業計画'!O9)</x:f>
        <x:v>46318</x:v>
      </x:c>
      <x:c r="AE9" s="306" t="n">
        <x:f>IF('作業計画'!P9="","",'作業計画'!P9)</x:f>
        <x:v>46318</x:v>
      </x:c>
      <x:c r="AF9" s="306" t="str">
        <x:f>IF('作業計画'!Q9="","",'作業計画'!Q9)</x:f>
      </x:c>
      <x:c r="AG9" s="306" t="str">
        <x:f>IF('作業計画'!R9="","",'作業計画'!R9)</x:f>
      </x:c>
      <x:c r="AH9" s="291" t="n">
        <x:f>'作業計画'!S9</x:f>
        <x:v>1</x:v>
      </x:c>
      <x:c r="AI9" s="291" t="n">
        <x:f>'作業計画'!T9</x:f>
        <x:v>0</x:v>
      </x:c>
      <x:c r="AJ9" s="307" t="n">
        <x:f>'作業計画'!U9</x:f>
        <x:v>0</x:v>
      </x:c>
      <x:c r="AK9" s="291" t="str">
        <x:f>'作業計画'!V9</x:f>
        <x:v>予定前</x:v>
      </x:c>
      <x:c r="AL9" s="291" t="str">
        <x:f>'作業計画'!W9</x:f>
        <x:v>3</x:v>
      </x:c>
      <x:c r="AM9" s="291" t="str">
        <x:f>'作業計画'!J9&amp;IF('作業計画'!K9="",""," / "&amp;'作業計画'!K9)&amp;IF('作業計画'!L9="",""," / "&amp;'作業計画'!L9)</x:f>
        <x:v>00002</x:v>
      </x:c>
      <x:c r="AN9" s="253" t="str">
        <x:f>'作業計画'!Y9</x:f>
        <x:v>前提条件・目的・完了条件の合意記録</x:v>
      </x:c>
      <x:c r="AO9" s="253" t="str">
        <x:f>IF('作業計画'!Z9="","",'作業計画'!Z9)</x:f>
      </x:c>
      <x:c r="AP9" s="254" t="str">
        <x:f>'作業計画'!X9</x:f>
        <x:v>原資料展開</x:v>
      </x:c>
    </x:row>
    <x:row r="10" ht="54" customHeight="1">
      <x:c r="A10" s="457" t="str">
        <x:f>'作業計画'!A10</x:f>
        <x:v>00004</x:v>
      </x:c>
      <x:c r="B10" s="320" t="str">
        <x:f>'作業計画'!B10</x:f>
        <x:v>01.準備</x:v>
      </x:c>
      <x:c r="C10" s="250" t="str">
        <x:f>'作業計画'!C10</x:f>
        <x:v>現行アーキテクチャ確認（資料上完了）</x:v>
      </x:c>
      <x:c r="D10" s="250" t="str">
        <x:f>'作業計画'!D10</x:f>
        <x:v>確認担当（要確定）</x:v>
      </x:c>
      <x:c r="E10" s="250" t="str">
        <x:f>'作業計画'!E10</x:f>
        <x:v>Dataiku</x:v>
      </x:c>
      <x:c r="F10" s="289" t="str">
        <x:f>'作業計画'!F10</x:f>
        <x:v>2.中</x:v>
      </x:c>
      <x:c r="G10" s="289" t="str">
        <x:f>'作業計画'!G10</x:f>
        <x:v>06.完了（資料記載）</x:v>
      </x:c>
      <x:c r="H10" s="304" t="str">
        <x:f>IF('作業計画'!$H10="設計",IF('作業計画'!O10="","",'作業計画'!O10),"")</x:f>
      </x:c>
      <x:c r="I10" s="304" t="str">
        <x:f>IF('作業計画'!$H10="設計",IF('作業計画'!P10="","",'作業計画'!P10),"")</x:f>
      </x:c>
      <x:c r="J10" s="304" t="str">
        <x:f>IF('作業計画'!$H10="設計",IF('作業計画'!Q10="","",'作業計画'!Q10),"")</x:f>
      </x:c>
      <x:c r="K10" s="304" t="str">
        <x:f>IF('作業計画'!$H10="設計",IF('作業計画'!R10="","",'作業計画'!R10),"")</x:f>
      </x:c>
      <x:c r="L10" s="305" t="n">
        <x:f>IF('作業計画'!$H10="設計",'作業計画'!U10,"")</x:f>
        <x:v>1</x:v>
      </x:c>
      <x:c r="M10" s="289" t="str">
        <x:f>IF('作業計画'!$H10="設計",'作業計画'!V10,"")</x:f>
        <x:v>完了（実績日未確認）</x:v>
      </x:c>
      <x:c r="N10" s="304" t="str">
        <x:f>IF('作業計画'!$H10="開発",IF('作業計画'!O10="","",'作業計画'!O10),"")</x:f>
      </x:c>
      <x:c r="O10" s="304" t="str">
        <x:f>IF('作業計画'!$H10="開発",IF('作業計画'!P10="","",'作業計画'!P10),"")</x:f>
      </x:c>
      <x:c r="P10" s="304" t="str">
        <x:f>IF('作業計画'!$H10="開発",IF('作業計画'!Q10="","",'作業計画'!Q10),"")</x:f>
      </x:c>
      <x:c r="Q10" s="304" t="str">
        <x:f>IF('作業計画'!$H10="開発",IF('作業計画'!R10="","",'作業計画'!R10),"")</x:f>
      </x:c>
      <x:c r="R10" s="289" t="str">
        <x:f>IF('作業計画'!$H10="開発",'作業計画'!S10,"")</x:f>
      </x:c>
      <x:c r="S10" s="289" t="str">
        <x:f>IF('作業計画'!$H10="開発",'作業計画'!T10,"")</x:f>
      </x:c>
      <x:c r="T10" s="305" t="str">
        <x:f>IF('作業計画'!$H10="開発",'作業計画'!U10,"")</x:f>
      </x:c>
      <x:c r="U10" s="289" t="str">
        <x:f>IF('作業計画'!$H10="開発",'作業計画'!V10,"")</x:f>
      </x:c>
      <x:c r="V10" s="304" t="str">
        <x:f>IF('作業計画'!$H10="テスト",IF('作業計画'!O10="","",'作業計画'!O10),"")</x:f>
      </x:c>
      <x:c r="W10" s="304" t="str">
        <x:f>IF('作業計画'!$H10="テスト",IF('作業計画'!P10="","",'作業計画'!P10),"")</x:f>
      </x:c>
      <x:c r="X10" s="304" t="str">
        <x:f>IF('作業計画'!$H10="テスト",IF('作業計画'!Q10="","",'作業計画'!Q10),"")</x:f>
      </x:c>
      <x:c r="Y10" s="304" t="str">
        <x:f>IF('作業計画'!$H10="テスト",IF('作業計画'!R10="","",'作業計画'!R10),"")</x:f>
      </x:c>
      <x:c r="Z10" s="289" t="str">
        <x:f>IF('作業計画'!$H10="テスト",'作業計画'!S10,"")</x:f>
      </x:c>
      <x:c r="AA10" s="289" t="str">
        <x:f>IF('作業計画'!$H10="テスト",'作業計画'!T10,"")</x:f>
      </x:c>
      <x:c r="AB10" s="305" t="str">
        <x:f>IF('作業計画'!$H10="テスト",'作業計画'!U10,"")</x:f>
      </x:c>
      <x:c r="AC10" s="289" t="str">
        <x:f>IF('作業計画'!$H10="テスト",'作業計画'!V10,"")</x:f>
      </x:c>
      <x:c r="AD10" s="304" t="str">
        <x:f>IF('作業計画'!O10="","",'作業計画'!O10)</x:f>
      </x:c>
      <x:c r="AE10" s="304" t="str">
        <x:f>IF('作業計画'!P10="","",'作業計画'!P10)</x:f>
      </x:c>
      <x:c r="AF10" s="304" t="str">
        <x:f>IF('作業計画'!Q10="","",'作業計画'!Q10)</x:f>
      </x:c>
      <x:c r="AG10" s="304" t="str">
        <x:f>IF('作業計画'!R10="","",'作業計画'!R10)</x:f>
      </x:c>
      <x:c r="AH10" s="289" t="n">
        <x:f>'作業計画'!S10</x:f>
        <x:v>1</x:v>
      </x:c>
      <x:c r="AI10" s="289" t="n">
        <x:f>'作業計画'!T10</x:f>
        <x:v>1</x:v>
      </x:c>
      <x:c r="AJ10" s="305" t="n">
        <x:f>'作業計画'!U10</x:f>
        <x:v>1</x:v>
      </x:c>
      <x:c r="AK10" s="289" t="str">
        <x:f>'作業計画'!V10</x:f>
        <x:v>完了（実績日未確認）</x:v>
      </x:c>
      <x:c r="AL10" s="289" t="str">
        <x:f>'作業計画'!W10</x:f>
        <x:v>5</x:v>
      </x:c>
      <x:c r="AM10" s="289" t="str">
        <x:f>'作業計画'!J10&amp;IF('作業計画'!K10="",""," / "&amp;'作業計画'!K10)&amp;IF('作業計画'!L10="",""," / "&amp;'作業計画'!L10)</x:f>
      </x:c>
      <x:c r="AN10" s="250" t="str">
        <x:f>'作業計画'!Y10</x:f>
        <x:v>As-Is構成の確認結果</x:v>
      </x:c>
      <x:c r="AO10" s="250" t="str">
        <x:f>IF('作業計画'!Z10="","",'作業計画'!Z10)</x:f>
        <x:v>元資料に「→OK」。実績日・承認は未確認。新規計画期間は0。</x:v>
      </x:c>
      <x:c r="AP10" s="251" t="str">
        <x:f>'作業計画'!X10</x:f>
        <x:v>原資料展開</x:v>
      </x:c>
    </x:row>
    <x:row r="11" ht="54" customHeight="1">
      <x:c r="A11" s="458" t="str">
        <x:f>'作業計画'!A11</x:f>
        <x:v>00005</x:v>
      </x:c>
      <x:c r="B11" s="320" t="str">
        <x:f>'作業計画'!B11</x:f>
        <x:v>01.準備</x:v>
      </x:c>
      <x:c r="C11" s="253" t="str">
        <x:f>'作業計画'!C11</x:f>
        <x:v>Dataiku既存処理確認（資料上完了）</x:v>
      </x:c>
      <x:c r="D11" s="253" t="str">
        <x:f>'作業計画'!D11</x:f>
        <x:v>確認担当（要確定）</x:v>
      </x:c>
      <x:c r="E11" s="253" t="str">
        <x:f>'作業計画'!E11</x:f>
        <x:v>Dataiku</x:v>
      </x:c>
      <x:c r="F11" s="291" t="str">
        <x:f>'作業計画'!F11</x:f>
        <x:v>2.中</x:v>
      </x:c>
      <x:c r="G11" s="291" t="str">
        <x:f>'作業計画'!G11</x:f>
        <x:v>06.完了（資料記載）</x:v>
      </x:c>
      <x:c r="H11" s="306" t="str">
        <x:f>IF('作業計画'!$H11="設計",IF('作業計画'!O11="","",'作業計画'!O11),"")</x:f>
      </x:c>
      <x:c r="I11" s="306" t="str">
        <x:f>IF('作業計画'!$H11="設計",IF('作業計画'!P11="","",'作業計画'!P11),"")</x:f>
      </x:c>
      <x:c r="J11" s="306" t="str">
        <x:f>IF('作業計画'!$H11="設計",IF('作業計画'!Q11="","",'作業計画'!Q11),"")</x:f>
      </x:c>
      <x:c r="K11" s="306" t="str">
        <x:f>IF('作業計画'!$H11="設計",IF('作業計画'!R11="","",'作業計画'!R11),"")</x:f>
      </x:c>
      <x:c r="L11" s="307" t="n">
        <x:f>IF('作業計画'!$H11="設計",'作業計画'!U11,"")</x:f>
        <x:v>1</x:v>
      </x:c>
      <x:c r="M11" s="291" t="str">
        <x:f>IF('作業計画'!$H11="設計",'作業計画'!V11,"")</x:f>
        <x:v>完了（実績日未確認）</x:v>
      </x:c>
      <x:c r="N11" s="306" t="str">
        <x:f>IF('作業計画'!$H11="開発",IF('作業計画'!O11="","",'作業計画'!O11),"")</x:f>
      </x:c>
      <x:c r="O11" s="306" t="str">
        <x:f>IF('作業計画'!$H11="開発",IF('作業計画'!P11="","",'作業計画'!P11),"")</x:f>
      </x:c>
      <x:c r="P11" s="306" t="str">
        <x:f>IF('作業計画'!$H11="開発",IF('作業計画'!Q11="","",'作業計画'!Q11),"")</x:f>
      </x:c>
      <x:c r="Q11" s="306" t="str">
        <x:f>IF('作業計画'!$H11="開発",IF('作業計画'!R11="","",'作業計画'!R11),"")</x:f>
      </x:c>
      <x:c r="R11" s="291" t="str">
        <x:f>IF('作業計画'!$H11="開発",'作業計画'!S11,"")</x:f>
      </x:c>
      <x:c r="S11" s="291" t="str">
        <x:f>IF('作業計画'!$H11="開発",'作業計画'!T11,"")</x:f>
      </x:c>
      <x:c r="T11" s="307" t="str">
        <x:f>IF('作業計画'!$H11="開発",'作業計画'!U11,"")</x:f>
      </x:c>
      <x:c r="U11" s="291" t="str">
        <x:f>IF('作業計画'!$H11="開発",'作業計画'!V11,"")</x:f>
      </x:c>
      <x:c r="V11" s="306" t="str">
        <x:f>IF('作業計画'!$H11="テスト",IF('作業計画'!O11="","",'作業計画'!O11),"")</x:f>
      </x:c>
      <x:c r="W11" s="306" t="str">
        <x:f>IF('作業計画'!$H11="テスト",IF('作業計画'!P11="","",'作業計画'!P11),"")</x:f>
      </x:c>
      <x:c r="X11" s="306" t="str">
        <x:f>IF('作業計画'!$H11="テスト",IF('作業計画'!Q11="","",'作業計画'!Q11),"")</x:f>
      </x:c>
      <x:c r="Y11" s="306" t="str">
        <x:f>IF('作業計画'!$H11="テスト",IF('作業計画'!R11="","",'作業計画'!R11),"")</x:f>
      </x:c>
      <x:c r="Z11" s="291" t="str">
        <x:f>IF('作業計画'!$H11="テスト",'作業計画'!S11,"")</x:f>
      </x:c>
      <x:c r="AA11" s="291" t="str">
        <x:f>IF('作業計画'!$H11="テスト",'作業計画'!T11,"")</x:f>
      </x:c>
      <x:c r="AB11" s="307" t="str">
        <x:f>IF('作業計画'!$H11="テスト",'作業計画'!U11,"")</x:f>
      </x:c>
      <x:c r="AC11" s="291" t="str">
        <x:f>IF('作業計画'!$H11="テスト",'作業計画'!V11,"")</x:f>
      </x:c>
      <x:c r="AD11" s="306" t="str">
        <x:f>IF('作業計画'!O11="","",'作業計画'!O11)</x:f>
      </x:c>
      <x:c r="AE11" s="306" t="str">
        <x:f>IF('作業計画'!P11="","",'作業計画'!P11)</x:f>
      </x:c>
      <x:c r="AF11" s="306" t="str">
        <x:f>IF('作業計画'!Q11="","",'作業計画'!Q11)</x:f>
      </x:c>
      <x:c r="AG11" s="306" t="str">
        <x:f>IF('作業計画'!R11="","",'作業計画'!R11)</x:f>
      </x:c>
      <x:c r="AH11" s="291" t="n">
        <x:f>'作業計画'!S11</x:f>
        <x:v>1</x:v>
      </x:c>
      <x:c r="AI11" s="291" t="n">
        <x:f>'作業計画'!T11</x:f>
        <x:v>1</x:v>
      </x:c>
      <x:c r="AJ11" s="307" t="n">
        <x:f>'作業計画'!U11</x:f>
        <x:v>1</x:v>
      </x:c>
      <x:c r="AK11" s="291" t="str">
        <x:f>'作業計画'!V11</x:f>
        <x:v>完了（実績日未確認）</x:v>
      </x:c>
      <x:c r="AL11" s="291" t="str">
        <x:f>'作業計画'!W11</x:f>
        <x:v>6</x:v>
      </x:c>
      <x:c r="AM11" s="291" t="str">
        <x:f>'作業計画'!J11&amp;IF('作業計画'!K11="",""," / "&amp;'作業計画'!K11)&amp;IF('作業計画'!L11="",""," / "&amp;'作業計画'!L11)</x:f>
      </x:c>
      <x:c r="AN11" s="253" t="str">
        <x:f>'作業計画'!Y11</x:f>
        <x:v>既存処理調査結果</x:v>
      </x:c>
      <x:c r="AO11" s="253" t="str">
        <x:f>IF('作業計画'!Z11="","",'作業計画'!Z11)</x:f>
        <x:v>元資料に「→完了済み」。OUTPUTテーブル名・列名・型の確定は要件タスクで実施。</x:v>
      </x:c>
      <x:c r="AP11" s="254" t="str">
        <x:f>'作業計画'!X11</x:f>
        <x:v>原資料展開</x:v>
      </x:c>
    </x:row>
    <x:row r="12" ht="54" customHeight="1">
      <x:c r="A12" s="457" t="str">
        <x:f>'作業計画'!A12</x:f>
        <x:v>00006</x:v>
      </x:c>
      <x:c r="B12" s="320" t="str">
        <x:f>'作業計画'!B12</x:f>
        <x:v>01.準備</x:v>
      </x:c>
      <x:c r="C12" s="250" t="str">
        <x:f>'作業計画'!C12</x:f>
        <x:v>更新頻度・更新時刻・SLAの確認</x:v>
      </x:c>
      <x:c r="D12" s="250" t="str">
        <x:f>'作業計画'!D12</x:f>
        <x:v>PM／業務担当（要確定）</x:v>
      </x:c>
      <x:c r="E12" s="250" t="str">
        <x:f>'作業計画'!E12</x:f>
        <x:v>Dataiku／Dataverse</x:v>
      </x:c>
      <x:c r="F12" s="289" t="str">
        <x:f>'作業計画'!F12</x:f>
        <x:v>1.高</x:v>
      </x:c>
      <x:c r="G12" s="289" t="str">
        <x:f>'作業計画'!G12</x:f>
        <x:v>00.未確認</x:v>
      </x:c>
      <x:c r="H12" s="304" t="n">
        <x:f>IF('作業計画'!$H12="設計",IF('作業計画'!O12="","",'作業計画'!O12),"")</x:f>
        <x:v>46321</x:v>
      </x:c>
      <x:c r="I12" s="304" t="n">
        <x:f>IF('作業計画'!$H12="設計",IF('作業計画'!P12="","",'作業計画'!P12),"")</x:f>
        <x:v>46322</x:v>
      </x:c>
      <x:c r="J12" s="304" t="str">
        <x:f>IF('作業計画'!$H12="設計",IF('作業計画'!Q12="","",'作業計画'!Q12),"")</x:f>
      </x:c>
      <x:c r="K12" s="304" t="str">
        <x:f>IF('作業計画'!$H12="設計",IF('作業計画'!R12="","",'作業計画'!R12),"")</x:f>
      </x:c>
      <x:c r="L12" s="305" t="n">
        <x:f>IF('作業計画'!$H12="設計",'作業計画'!U12,"")</x:f>
        <x:v>0</x:v>
      </x:c>
      <x:c r="M12" s="289" t="str">
        <x:f>IF('作業計画'!$H12="設計",'作業計画'!V12,"")</x:f>
        <x:v>予定前</x:v>
      </x:c>
      <x:c r="N12" s="304" t="str">
        <x:f>IF('作業計画'!$H12="開発",IF('作業計画'!O12="","",'作業計画'!O12),"")</x:f>
      </x:c>
      <x:c r="O12" s="304" t="str">
        <x:f>IF('作業計画'!$H12="開発",IF('作業計画'!P12="","",'作業計画'!P12),"")</x:f>
      </x:c>
      <x:c r="P12" s="304" t="str">
        <x:f>IF('作業計画'!$H12="開発",IF('作業計画'!Q12="","",'作業計画'!Q12),"")</x:f>
      </x:c>
      <x:c r="Q12" s="304" t="str">
        <x:f>IF('作業計画'!$H12="開発",IF('作業計画'!R12="","",'作業計画'!R12),"")</x:f>
      </x:c>
      <x:c r="R12" s="289" t="str">
        <x:f>IF('作業計画'!$H12="開発",'作業計画'!S12,"")</x:f>
      </x:c>
      <x:c r="S12" s="289" t="str">
        <x:f>IF('作業計画'!$H12="開発",'作業計画'!T12,"")</x:f>
      </x:c>
      <x:c r="T12" s="305" t="str">
        <x:f>IF('作業計画'!$H12="開発",'作業計画'!U12,"")</x:f>
      </x:c>
      <x:c r="U12" s="289" t="str">
        <x:f>IF('作業計画'!$H12="開発",'作業計画'!V12,"")</x:f>
      </x:c>
      <x:c r="V12" s="304" t="str">
        <x:f>IF('作業計画'!$H12="テスト",IF('作業計画'!O12="","",'作業計画'!O12),"")</x:f>
      </x:c>
      <x:c r="W12" s="304" t="str">
        <x:f>IF('作業計画'!$H12="テスト",IF('作業計画'!P12="","",'作業計画'!P12),"")</x:f>
      </x:c>
      <x:c r="X12" s="304" t="str">
        <x:f>IF('作業計画'!$H12="テスト",IF('作業計画'!Q12="","",'作業計画'!Q12),"")</x:f>
      </x:c>
      <x:c r="Y12" s="304" t="str">
        <x:f>IF('作業計画'!$H12="テスト",IF('作業計画'!R12="","",'作業計画'!R12),"")</x:f>
      </x:c>
      <x:c r="Z12" s="289" t="str">
        <x:f>IF('作業計画'!$H12="テスト",'作業計画'!S12,"")</x:f>
      </x:c>
      <x:c r="AA12" s="289" t="str">
        <x:f>IF('作業計画'!$H12="テスト",'作業計画'!T12,"")</x:f>
      </x:c>
      <x:c r="AB12" s="305" t="str">
        <x:f>IF('作業計画'!$H12="テスト",'作業計画'!U12,"")</x:f>
      </x:c>
      <x:c r="AC12" s="289" t="str">
        <x:f>IF('作業計画'!$H12="テスト",'作業計画'!V12,"")</x:f>
      </x:c>
      <x:c r="AD12" s="304" t="n">
        <x:f>IF('作業計画'!O12="","",'作業計画'!O12)</x:f>
        <x:v>46321</x:v>
      </x:c>
      <x:c r="AE12" s="304" t="n">
        <x:f>IF('作業計画'!P12="","",'作業計画'!P12)</x:f>
        <x:v>46322</x:v>
      </x:c>
      <x:c r="AF12" s="304" t="str">
        <x:f>IF('作業計画'!Q12="","",'作業計画'!Q12)</x:f>
      </x:c>
      <x:c r="AG12" s="304" t="str">
        <x:f>IF('作業計画'!R12="","",'作業計画'!R12)</x:f>
      </x:c>
      <x:c r="AH12" s="289" t="n">
        <x:f>'作業計画'!S12</x:f>
        <x:v>1</x:v>
      </x:c>
      <x:c r="AI12" s="289" t="n">
        <x:f>'作業計画'!T12</x:f>
        <x:v>0</x:v>
      </x:c>
      <x:c r="AJ12" s="305" t="n">
        <x:f>'作業計画'!U12</x:f>
        <x:v>0</x:v>
      </x:c>
      <x:c r="AK12" s="289" t="str">
        <x:f>'作業計画'!V12</x:f>
        <x:v>予定前</x:v>
      </x:c>
      <x:c r="AL12" s="289" t="str">
        <x:f>'作業計画'!W12</x:f>
        <x:v>7</x:v>
      </x:c>
      <x:c r="AM12" s="289" t="str">
        <x:f>'作業計画'!J12&amp;IF('作業計画'!K12="",""," / "&amp;'作業計画'!K12)&amp;IF('作業計画'!L12="",""," / "&amp;'作業計画'!L12)</x:f>
        <x:v>00003 / 00005</x:v>
      </x:c>
      <x:c r="AN12" s="250" t="str">
        <x:f>'作業計画'!Y12</x:f>
        <x:v>更新スケジュールと許容時間の合意</x:v>
      </x:c>
      <x:c r="AO12" s="250" t="str">
        <x:f>IF('作業計画'!Z12="","",'作業計画'!Z12)</x:f>
        <x:v>Dataverseへの反映が8時ごろでよいか、冨士谷さんに確認。</x:v>
      </x:c>
      <x:c r="AP12" s="251" t="str">
        <x:f>'作業計画'!X12</x:f>
        <x:v>原資料展開</x:v>
      </x:c>
    </x:row>
    <x:row r="13" ht="54" customHeight="1">
      <x:c r="A13" s="458" t="str">
        <x:f>'作業計画'!A13</x:f>
        <x:v>00007</x:v>
      </x:c>
      <x:c r="B13" s="320" t="str">
        <x:f>'作業計画'!B13</x:f>
        <x:v>01.準備</x:v>
      </x:c>
      <x:c r="C13" s="253" t="str">
        <x:f>'作業計画'!C13</x:f>
        <x:v>例外処理・エラー通知先の整理</x:v>
      </x:c>
      <x:c r="D13" s="253" t="str">
        <x:f>'作業計画'!D13</x:f>
        <x:v>運用担当（要確定）</x:v>
      </x:c>
      <x:c r="E13" s="253" t="str">
        <x:f>'作業計画'!E13</x:f>
        <x:v>Dataiku／メール</x:v>
      </x:c>
      <x:c r="F13" s="291" t="str">
        <x:f>'作業計画'!F13</x:f>
        <x:v>2.中</x:v>
      </x:c>
      <x:c r="G13" s="291" t="str">
        <x:f>'作業計画'!G13</x:f>
        <x:v>00.未確認</x:v>
      </x:c>
      <x:c r="H13" s="306" t="n">
        <x:f>IF('作業計画'!$H13="設計",IF('作業計画'!O13="","",'作業計画'!O13),"")</x:f>
        <x:v>46321</x:v>
      </x:c>
      <x:c r="I13" s="306" t="n">
        <x:f>IF('作業計画'!$H13="設計",IF('作業計画'!P13="","",'作業計画'!P13),"")</x:f>
        <x:v>46322</x:v>
      </x:c>
      <x:c r="J13" s="306" t="str">
        <x:f>IF('作業計画'!$H13="設計",IF('作業計画'!Q13="","",'作業計画'!Q13),"")</x:f>
      </x:c>
      <x:c r="K13" s="306" t="str">
        <x:f>IF('作業計画'!$H13="設計",IF('作業計画'!R13="","",'作業計画'!R13),"")</x:f>
      </x:c>
      <x:c r="L13" s="307" t="n">
        <x:f>IF('作業計画'!$H13="設計",'作業計画'!U13,"")</x:f>
        <x:v>0</x:v>
      </x:c>
      <x:c r="M13" s="291" t="str">
        <x:f>IF('作業計画'!$H13="設計",'作業計画'!V13,"")</x:f>
        <x:v>予定前</x:v>
      </x:c>
      <x:c r="N13" s="306" t="str">
        <x:f>IF('作業計画'!$H13="開発",IF('作業計画'!O13="","",'作業計画'!O13),"")</x:f>
      </x:c>
      <x:c r="O13" s="306" t="str">
        <x:f>IF('作業計画'!$H13="開発",IF('作業計画'!P13="","",'作業計画'!P13),"")</x:f>
      </x:c>
      <x:c r="P13" s="306" t="str">
        <x:f>IF('作業計画'!$H13="開発",IF('作業計画'!Q13="","",'作業計画'!Q13),"")</x:f>
      </x:c>
      <x:c r="Q13" s="306" t="str">
        <x:f>IF('作業計画'!$H13="開発",IF('作業計画'!R13="","",'作業計画'!R13),"")</x:f>
      </x:c>
      <x:c r="R13" s="291" t="str">
        <x:f>IF('作業計画'!$H13="開発",'作業計画'!S13,"")</x:f>
      </x:c>
      <x:c r="S13" s="291" t="str">
        <x:f>IF('作業計画'!$H13="開発",'作業計画'!T13,"")</x:f>
      </x:c>
      <x:c r="T13" s="307" t="str">
        <x:f>IF('作業計画'!$H13="開発",'作業計画'!U13,"")</x:f>
      </x:c>
      <x:c r="U13" s="291" t="str">
        <x:f>IF('作業計画'!$H13="開発",'作業計画'!V13,"")</x:f>
      </x:c>
      <x:c r="V13" s="306" t="str">
        <x:f>IF('作業計画'!$H13="テスト",IF('作業計画'!O13="","",'作業計画'!O13),"")</x:f>
      </x:c>
      <x:c r="W13" s="306" t="str">
        <x:f>IF('作業計画'!$H13="テスト",IF('作業計画'!P13="","",'作業計画'!P13),"")</x:f>
      </x:c>
      <x:c r="X13" s="306" t="str">
        <x:f>IF('作業計画'!$H13="テスト",IF('作業計画'!Q13="","",'作業計画'!Q13),"")</x:f>
      </x:c>
      <x:c r="Y13" s="306" t="str">
        <x:f>IF('作業計画'!$H13="テスト",IF('作業計画'!R13="","",'作業計画'!R13),"")</x:f>
      </x:c>
      <x:c r="Z13" s="291" t="str">
        <x:f>IF('作業計画'!$H13="テスト",'作業計画'!S13,"")</x:f>
      </x:c>
      <x:c r="AA13" s="291" t="str">
        <x:f>IF('作業計画'!$H13="テスト",'作業計画'!T13,"")</x:f>
      </x:c>
      <x:c r="AB13" s="307" t="str">
        <x:f>IF('作業計画'!$H13="テスト",'作業計画'!U13,"")</x:f>
      </x:c>
      <x:c r="AC13" s="291" t="str">
        <x:f>IF('作業計画'!$H13="テスト",'作業計画'!V13,"")</x:f>
      </x:c>
      <x:c r="AD13" s="306" t="n">
        <x:f>IF('作業計画'!O13="","",'作業計画'!O13)</x:f>
        <x:v>46321</x:v>
      </x:c>
      <x:c r="AE13" s="306" t="n">
        <x:f>IF('作業計画'!P13="","",'作業計画'!P13)</x:f>
        <x:v>46322</x:v>
      </x:c>
      <x:c r="AF13" s="306" t="str">
        <x:f>IF('作業計画'!Q13="","",'作業計画'!Q13)</x:f>
      </x:c>
      <x:c r="AG13" s="306" t="str">
        <x:f>IF('作業計画'!R13="","",'作業計画'!R13)</x:f>
      </x:c>
      <x:c r="AH13" s="291" t="n">
        <x:f>'作業計画'!S13</x:f>
        <x:v>1</x:v>
      </x:c>
      <x:c r="AI13" s="291" t="n">
        <x:f>'作業計画'!T13</x:f>
        <x:v>0</x:v>
      </x:c>
      <x:c r="AJ13" s="307" t="n">
        <x:f>'作業計画'!U13</x:f>
        <x:v>0</x:v>
      </x:c>
      <x:c r="AK13" s="291" t="str">
        <x:f>'作業計画'!V13</x:f>
        <x:v>予定前</x:v>
      </x:c>
      <x:c r="AL13" s="291" t="str">
        <x:f>'作業計画'!W13</x:f>
        <x:v>8</x:v>
      </x:c>
      <x:c r="AM13" s="291" t="str">
        <x:f>'作業計画'!J13&amp;IF('作業計画'!K13="",""," / "&amp;'作業計画'!K13)&amp;IF('作業計画'!L13="",""," / "&amp;'作業計画'!L13)</x:f>
        <x:v>00003 / 00005</x:v>
      </x:c>
      <x:c r="AN13" s="253" t="str">
        <x:f>'作業計画'!Y13</x:f>
        <x:v>エラー分類・通知条件・宛先一覧</x:v>
      </x:c>
      <x:c r="AO13" s="253" t="str">
        <x:f>IF('作業計画'!Z13="","",'作業計画'!Z13)</x:f>
        <x:v>メール送信先は要相談。</x:v>
      </x:c>
      <x:c r="AP13" s="254" t="str">
        <x:f>'作業計画'!X13</x:f>
        <x:v>原資料展開</x:v>
      </x:c>
    </x:row>
    <x:row r="14" ht="54" customHeight="1">
      <x:c r="A14" s="457" t="str">
        <x:f>'作業計画'!A14</x:f>
        <x:v>00008</x:v>
      </x:c>
      <x:c r="B14" s="320" t="str">
        <x:f>'作業計画'!B14</x:f>
        <x:v>01.準備</x:v>
      </x:c>
      <x:c r="C14" s="250" t="str">
        <x:f>'作業計画'!C14</x:f>
        <x:v>INPUT確定・Redshift更新時刻の調査</x:v>
      </x:c>
      <x:c r="D14" s="250" t="str">
        <x:f>'作業計画'!D14</x:f>
        <x:v>データソース担当（要確定）</x:v>
      </x:c>
      <x:c r="E14" s="250" t="str">
        <x:f>'作業計画'!E14</x:f>
        <x:v>Redshift／Iris</x:v>
      </x:c>
      <x:c r="F14" s="289" t="str">
        <x:f>'作業計画'!F14</x:f>
        <x:v>1.高</x:v>
      </x:c>
      <x:c r="G14" s="289" t="str">
        <x:f>'作業計画'!G14</x:f>
        <x:v>00.未確認</x:v>
      </x:c>
      <x:c r="H14" s="304" t="n">
        <x:f>IF('作業計画'!$H14="設計",IF('作業計画'!O14="","",'作業計画'!O14),"")</x:f>
        <x:v>46318</x:v>
      </x:c>
      <x:c r="I14" s="304" t="n">
        <x:f>IF('作業計画'!$H14="設計",IF('作業計画'!P14="","",'作業計画'!P14),"")</x:f>
        <x:v>46321</x:v>
      </x:c>
      <x:c r="J14" s="304" t="str">
        <x:f>IF('作業計画'!$H14="設計",IF('作業計画'!Q14="","",'作業計画'!Q14),"")</x:f>
      </x:c>
      <x:c r="K14" s="304" t="str">
        <x:f>IF('作業計画'!$H14="設計",IF('作業計画'!R14="","",'作業計画'!R14),"")</x:f>
      </x:c>
      <x:c r="L14" s="305" t="n">
        <x:f>IF('作業計画'!$H14="設計",'作業計画'!U14,"")</x:f>
        <x:v>0</x:v>
      </x:c>
      <x:c r="M14" s="289" t="str">
        <x:f>IF('作業計画'!$H14="設計",'作業計画'!V14,"")</x:f>
        <x:v>予定前</x:v>
      </x:c>
      <x:c r="N14" s="304" t="str">
        <x:f>IF('作業計画'!$H14="開発",IF('作業計画'!O14="","",'作業計画'!O14),"")</x:f>
      </x:c>
      <x:c r="O14" s="304" t="str">
        <x:f>IF('作業計画'!$H14="開発",IF('作業計画'!P14="","",'作業計画'!P14),"")</x:f>
      </x:c>
      <x:c r="P14" s="304" t="str">
        <x:f>IF('作業計画'!$H14="開発",IF('作業計画'!Q14="","",'作業計画'!Q14),"")</x:f>
      </x:c>
      <x:c r="Q14" s="304" t="str">
        <x:f>IF('作業計画'!$H14="開発",IF('作業計画'!R14="","",'作業計画'!R14),"")</x:f>
      </x:c>
      <x:c r="R14" s="289" t="str">
        <x:f>IF('作業計画'!$H14="開発",'作業計画'!S14,"")</x:f>
      </x:c>
      <x:c r="S14" s="289" t="str">
        <x:f>IF('作業計画'!$H14="開発",'作業計画'!T14,"")</x:f>
      </x:c>
      <x:c r="T14" s="305" t="str">
        <x:f>IF('作業計画'!$H14="開発",'作業計画'!U14,"")</x:f>
      </x:c>
      <x:c r="U14" s="289" t="str">
        <x:f>IF('作業計画'!$H14="開発",'作業計画'!V14,"")</x:f>
      </x:c>
      <x:c r="V14" s="304" t="str">
        <x:f>IF('作業計画'!$H14="テスト",IF('作業計画'!O14="","",'作業計画'!O14),"")</x:f>
      </x:c>
      <x:c r="W14" s="304" t="str">
        <x:f>IF('作業計画'!$H14="テスト",IF('作業計画'!P14="","",'作業計画'!P14),"")</x:f>
      </x:c>
      <x:c r="X14" s="304" t="str">
        <x:f>IF('作業計画'!$H14="テスト",IF('作業計画'!Q14="","",'作業計画'!Q14),"")</x:f>
      </x:c>
      <x:c r="Y14" s="304" t="str">
        <x:f>IF('作業計画'!$H14="テスト",IF('作業計画'!R14="","",'作業計画'!R14),"")</x:f>
      </x:c>
      <x:c r="Z14" s="289" t="str">
        <x:f>IF('作業計画'!$H14="テスト",'作業計画'!S14,"")</x:f>
      </x:c>
      <x:c r="AA14" s="289" t="str">
        <x:f>IF('作業計画'!$H14="テスト",'作業計画'!T14,"")</x:f>
      </x:c>
      <x:c r="AB14" s="305" t="str">
        <x:f>IF('作業計画'!$H14="テスト",'作業計画'!U14,"")</x:f>
      </x:c>
      <x:c r="AC14" s="289" t="str">
        <x:f>IF('作業計画'!$H14="テスト",'作業計画'!V14,"")</x:f>
      </x:c>
      <x:c r="AD14" s="304" t="n">
        <x:f>IF('作業計画'!O14="","",'作業計画'!O14)</x:f>
        <x:v>46318</x:v>
      </x:c>
      <x:c r="AE14" s="304" t="n">
        <x:f>IF('作業計画'!P14="","",'作業計画'!P14)</x:f>
        <x:v>46321</x:v>
      </x:c>
      <x:c r="AF14" s="304" t="str">
        <x:f>IF('作業計画'!Q14="","",'作業計画'!Q14)</x:f>
      </x:c>
      <x:c r="AG14" s="304" t="str">
        <x:f>IF('作業計画'!R14="","",'作業計画'!R14)</x:f>
      </x:c>
      <x:c r="AH14" s="289" t="n">
        <x:f>'作業計画'!S14</x:f>
        <x:v>1</x:v>
      </x:c>
      <x:c r="AI14" s="289" t="n">
        <x:f>'作業計画'!T14</x:f>
        <x:v>0</x:v>
      </x:c>
      <x:c r="AJ14" s="305" t="n">
        <x:f>'作業計画'!U14</x:f>
        <x:v>0</x:v>
      </x:c>
      <x:c r="AK14" s="289" t="str">
        <x:f>'作業計画'!V14</x:f>
        <x:v>予定前</x:v>
      </x:c>
      <x:c r="AL14" s="289" t="str">
        <x:f>'作業計画'!W14</x:f>
        <x:v>9</x:v>
      </x:c>
      <x:c r="AM14" s="289" t="str">
        <x:f>'作業計画'!J14&amp;IF('作業計画'!K14="",""," / "&amp;'作業計画'!K14)&amp;IF('作業計画'!L14="",""," / "&amp;'作業計画'!L14)</x:f>
        <x:v>00002 / 00005</x:v>
      </x:c>
      <x:c r="AN14" s="250" t="str">
        <x:f>'作業計画'!Y14</x:f>
        <x:v>INPUTテーブル一覧・最新データ時刻の回答</x:v>
      </x:c>
      <x:c r="AO14" s="250" t="str">
        <x:f>IF('作業計画'!Z14="","",'作業計画'!Z14)</x:f>
        <x:v>INPUT確定後にIrisチケット起票。テーブルリストを添付。</x:v>
      </x:c>
      <x:c r="AP14" s="251" t="str">
        <x:f>'作業計画'!X14</x:f>
        <x:v>原資料展開</x:v>
      </x:c>
    </x:row>
    <x:row r="15" ht="54" customHeight="1">
      <x:c r="A15" s="458" t="str">
        <x:f>'作業計画'!A15</x:f>
        <x:v>00009</x:v>
      </x:c>
      <x:c r="B15" s="320" t="str">
        <x:f>'作業計画'!B15</x:f>
        <x:v>01.準備</x:v>
      </x:c>
      <x:c r="C15" s="253" t="str">
        <x:f>'作業計画'!C15</x:f>
        <x:v>DPS対応の要否・対象範囲を決定</x:v>
      </x:c>
      <x:c r="D15" s="253" t="str">
        <x:f>'作業計画'!D15</x:f>
        <x:v>PM（要確定）</x:v>
      </x:c>
      <x:c r="E15" s="253" t="str">
        <x:f>'作業計画'!E15</x:f>
        <x:v>共通</x:v>
      </x:c>
      <x:c r="F15" s="291" t="str">
        <x:f>'作業計画'!F15</x:f>
        <x:v>1.高</x:v>
      </x:c>
      <x:c r="G15" s="291" t="str">
        <x:f>'作業計画'!G15</x:f>
        <x:v>00.未確認</x:v>
      </x:c>
      <x:c r="H15" s="306" t="n">
        <x:f>IF('作業計画'!$H15="設計",IF('作業計画'!O15="","",'作業計画'!O15),"")</x:f>
        <x:v>46321</x:v>
      </x:c>
      <x:c r="I15" s="306" t="n">
        <x:f>IF('作業計画'!$H15="設計",IF('作業計画'!P15="","",'作業計画'!P15),"")</x:f>
        <x:v>46322</x:v>
      </x:c>
      <x:c r="J15" s="306" t="str">
        <x:f>IF('作業計画'!$H15="設計",IF('作業計画'!Q15="","",'作業計画'!Q15),"")</x:f>
      </x:c>
      <x:c r="K15" s="306" t="str">
        <x:f>IF('作業計画'!$H15="設計",IF('作業計画'!R15="","",'作業計画'!R15),"")</x:f>
      </x:c>
      <x:c r="L15" s="307" t="n">
        <x:f>IF('作業計画'!$H15="設計",'作業計画'!U15,"")</x:f>
        <x:v>0</x:v>
      </x:c>
      <x:c r="M15" s="291" t="str">
        <x:f>IF('作業計画'!$H15="設計",'作業計画'!V15,"")</x:f>
        <x:v>予定前</x:v>
      </x:c>
      <x:c r="N15" s="306" t="str">
        <x:f>IF('作業計画'!$H15="開発",IF('作業計画'!O15="","",'作業計画'!O15),"")</x:f>
      </x:c>
      <x:c r="O15" s="306" t="str">
        <x:f>IF('作業計画'!$H15="開発",IF('作業計画'!P15="","",'作業計画'!P15),"")</x:f>
      </x:c>
      <x:c r="P15" s="306" t="str">
        <x:f>IF('作業計画'!$H15="開発",IF('作業計画'!Q15="","",'作業計画'!Q15),"")</x:f>
      </x:c>
      <x:c r="Q15" s="306" t="str">
        <x:f>IF('作業計画'!$H15="開発",IF('作業計画'!R15="","",'作業計画'!R15),"")</x:f>
      </x:c>
      <x:c r="R15" s="291" t="str">
        <x:f>IF('作業計画'!$H15="開発",'作業計画'!S15,"")</x:f>
      </x:c>
      <x:c r="S15" s="291" t="str">
        <x:f>IF('作業計画'!$H15="開発",'作業計画'!T15,"")</x:f>
      </x:c>
      <x:c r="T15" s="307" t="str">
        <x:f>IF('作業計画'!$H15="開発",'作業計画'!U15,"")</x:f>
      </x:c>
      <x:c r="U15" s="291" t="str">
        <x:f>IF('作業計画'!$H15="開発",'作業計画'!V15,"")</x:f>
      </x:c>
      <x:c r="V15" s="306" t="str">
        <x:f>IF('作業計画'!$H15="テスト",IF('作業計画'!O15="","",'作業計画'!O15),"")</x:f>
      </x:c>
      <x:c r="W15" s="306" t="str">
        <x:f>IF('作業計画'!$H15="テスト",IF('作業計画'!P15="","",'作業計画'!P15),"")</x:f>
      </x:c>
      <x:c r="X15" s="306" t="str">
        <x:f>IF('作業計画'!$H15="テスト",IF('作業計画'!Q15="","",'作業計画'!Q15),"")</x:f>
      </x:c>
      <x:c r="Y15" s="306" t="str">
        <x:f>IF('作業計画'!$H15="テスト",IF('作業計画'!R15="","",'作業計画'!R15),"")</x:f>
      </x:c>
      <x:c r="Z15" s="291" t="str">
        <x:f>IF('作業計画'!$H15="テスト",'作業計画'!S15,"")</x:f>
      </x:c>
      <x:c r="AA15" s="291" t="str">
        <x:f>IF('作業計画'!$H15="テスト",'作業計画'!T15,"")</x:f>
      </x:c>
      <x:c r="AB15" s="307" t="str">
        <x:f>IF('作業計画'!$H15="テスト",'作業計画'!U15,"")</x:f>
      </x:c>
      <x:c r="AC15" s="291" t="str">
        <x:f>IF('作業計画'!$H15="テスト",'作業計画'!V15,"")</x:f>
      </x:c>
      <x:c r="AD15" s="306" t="n">
        <x:f>IF('作業計画'!O15="","",'作業計画'!O15)</x:f>
        <x:v>46321</x:v>
      </x:c>
      <x:c r="AE15" s="306" t="n">
        <x:f>IF('作業計画'!P15="","",'作業計画'!P15)</x:f>
        <x:v>46322</x:v>
      </x:c>
      <x:c r="AF15" s="306" t="str">
        <x:f>IF('作業計画'!Q15="","",'作業計画'!Q15)</x:f>
      </x:c>
      <x:c r="AG15" s="306" t="str">
        <x:f>IF('作業計画'!R15="","",'作業計画'!R15)</x:f>
      </x:c>
      <x:c r="AH15" s="291" t="n">
        <x:f>'作業計画'!S15</x:f>
        <x:v>1</x:v>
      </x:c>
      <x:c r="AI15" s="291" t="n">
        <x:f>'作業計画'!T15</x:f>
        <x:v>0</x:v>
      </x:c>
      <x:c r="AJ15" s="307" t="n">
        <x:f>'作業計画'!U15</x:f>
        <x:v>0</x:v>
      </x:c>
      <x:c r="AK15" s="291" t="str">
        <x:f>'作業計画'!V15</x:f>
        <x:v>予定前</x:v>
      </x:c>
      <x:c r="AL15" s="291" t="str">
        <x:f>'作業計画'!W15</x:f>
        <x:v>10</x:v>
      </x:c>
      <x:c r="AM15" s="291" t="str">
        <x:f>'作業計画'!J15&amp;IF('作業計画'!K15="",""," / "&amp;'作業計画'!K15)&amp;IF('作業計画'!L15="",""," / "&amp;'作業計画'!L15)</x:f>
        <x:v>00003</x:v>
      </x:c>
      <x:c r="AN15" s="253" t="str">
        <x:f>'作業計画'!Y15</x:f>
        <x:v>DPSの必要／不要の決定記録</x:v>
      </x:c>
      <x:c r="AO15" s="253" t="str">
        <x:f>IF('作業計画'!Z15="","",'作業計画'!Z15)</x:f>
        <x:v>すささんに確認。必要な場合の追加開発は別途見積り。</x:v>
      </x:c>
      <x:c r="AP15" s="254" t="str">
        <x:f>'作業計画'!X15</x:f>
        <x:v>原資料展開</x:v>
      </x:c>
    </x:row>
    <x:row r="16" ht="54" customHeight="1">
      <x:c r="A16" s="457" t="str">
        <x:f>'作業計画'!A16</x:f>
        <x:v>00010</x:v>
      </x:c>
      <x:c r="B16" s="320" t="str">
        <x:f>'作業計画'!B16</x:f>
        <x:v>01.準備</x:v>
      </x:c>
      <x:c r="C16" s="250" t="str">
        <x:f>'作業計画'!C16</x:f>
        <x:v>WBS・工程・マイルストーンの作成</x:v>
      </x:c>
      <x:c r="D16" s="250" t="str">
        <x:f>'作業計画'!D16</x:f>
        <x:v>PM（要確定）</x:v>
      </x:c>
      <x:c r="E16" s="250" t="str">
        <x:f>'作業計画'!E16</x:f>
        <x:v>Excel</x:v>
      </x:c>
      <x:c r="F16" s="289" t="str">
        <x:f>'作業計画'!F16</x:f>
        <x:v>2.中</x:v>
      </x:c>
      <x:c r="G16" s="289" t="str">
        <x:f>'作業計画'!G16</x:f>
        <x:v>00.未確認</x:v>
      </x:c>
      <x:c r="H16" s="304" t="n">
        <x:f>IF('作業計画'!$H16="設計",IF('作業計画'!O16="","",'作業計画'!O16),"")</x:f>
        <x:v>46323</x:v>
      </x:c>
      <x:c r="I16" s="304" t="n">
        <x:f>IF('作業計画'!$H16="設計",IF('作業計画'!P16="","",'作業計画'!P16),"")</x:f>
        <x:v>46323</x:v>
      </x:c>
      <x:c r="J16" s="304" t="str">
        <x:f>IF('作業計画'!$H16="設計",IF('作業計画'!Q16="","",'作業計画'!Q16),"")</x:f>
      </x:c>
      <x:c r="K16" s="304" t="str">
        <x:f>IF('作業計画'!$H16="設計",IF('作業計画'!R16="","",'作業計画'!R16),"")</x:f>
      </x:c>
      <x:c r="L16" s="305" t="n">
        <x:f>IF('作業計画'!$H16="設計",'作業計画'!U16,"")</x:f>
        <x:v>0</x:v>
      </x:c>
      <x:c r="M16" s="289" t="str">
        <x:f>IF('作業計画'!$H16="設計",'作業計画'!V16,"")</x:f>
        <x:v>予定前</x:v>
      </x:c>
      <x:c r="N16" s="304" t="str">
        <x:f>IF('作業計画'!$H16="開発",IF('作業計画'!O16="","",'作業計画'!O16),"")</x:f>
      </x:c>
      <x:c r="O16" s="304" t="str">
        <x:f>IF('作業計画'!$H16="開発",IF('作業計画'!P16="","",'作業計画'!P16),"")</x:f>
      </x:c>
      <x:c r="P16" s="304" t="str">
        <x:f>IF('作業計画'!$H16="開発",IF('作業計画'!Q16="","",'作業計画'!Q16),"")</x:f>
      </x:c>
      <x:c r="Q16" s="304" t="str">
        <x:f>IF('作業計画'!$H16="開発",IF('作業計画'!R16="","",'作業計画'!R16),"")</x:f>
      </x:c>
      <x:c r="R16" s="289" t="str">
        <x:f>IF('作業計画'!$H16="開発",'作業計画'!S16,"")</x:f>
      </x:c>
      <x:c r="S16" s="289" t="str">
        <x:f>IF('作業計画'!$H16="開発",'作業計画'!T16,"")</x:f>
      </x:c>
      <x:c r="T16" s="305" t="str">
        <x:f>IF('作業計画'!$H16="開発",'作業計画'!U16,"")</x:f>
      </x:c>
      <x:c r="U16" s="289" t="str">
        <x:f>IF('作業計画'!$H16="開発",'作業計画'!V16,"")</x:f>
      </x:c>
      <x:c r="V16" s="304" t="str">
        <x:f>IF('作業計画'!$H16="テスト",IF('作業計画'!O16="","",'作業計画'!O16),"")</x:f>
      </x:c>
      <x:c r="W16" s="304" t="str">
        <x:f>IF('作業計画'!$H16="テスト",IF('作業計画'!P16="","",'作業計画'!P16),"")</x:f>
      </x:c>
      <x:c r="X16" s="304" t="str">
        <x:f>IF('作業計画'!$H16="テスト",IF('作業計画'!Q16="","",'作業計画'!Q16),"")</x:f>
      </x:c>
      <x:c r="Y16" s="304" t="str">
        <x:f>IF('作業計画'!$H16="テスト",IF('作業計画'!R16="","",'作業計画'!R16),"")</x:f>
      </x:c>
      <x:c r="Z16" s="289" t="str">
        <x:f>IF('作業計画'!$H16="テスト",'作業計画'!S16,"")</x:f>
      </x:c>
      <x:c r="AA16" s="289" t="str">
        <x:f>IF('作業計画'!$H16="テスト",'作業計画'!T16,"")</x:f>
      </x:c>
      <x:c r="AB16" s="305" t="str">
        <x:f>IF('作業計画'!$H16="テスト",'作業計画'!U16,"")</x:f>
      </x:c>
      <x:c r="AC16" s="289" t="str">
        <x:f>IF('作業計画'!$H16="テスト",'作業計画'!V16,"")</x:f>
      </x:c>
      <x:c r="AD16" s="304" t="n">
        <x:f>IF('作業計画'!O16="","",'作業計画'!O16)</x:f>
        <x:v>46323</x:v>
      </x:c>
      <x:c r="AE16" s="304" t="n">
        <x:f>IF('作業計画'!P16="","",'作業計画'!P16)</x:f>
        <x:v>46323</x:v>
      </x:c>
      <x:c r="AF16" s="304" t="str">
        <x:f>IF('作業計画'!Q16="","",'作業計画'!Q16)</x:f>
      </x:c>
      <x:c r="AG16" s="304" t="str">
        <x:f>IF('作業計画'!R16="","",'作業計画'!R16)</x:f>
      </x:c>
      <x:c r="AH16" s="289" t="n">
        <x:f>'作業計画'!S16</x:f>
        <x:v>1</x:v>
      </x:c>
      <x:c r="AI16" s="289" t="n">
        <x:f>'作業計画'!T16</x:f>
        <x:v>0</x:v>
      </x:c>
      <x:c r="AJ16" s="305" t="n">
        <x:f>'作業計画'!U16</x:f>
        <x:v>0</x:v>
      </x:c>
      <x:c r="AK16" s="289" t="str">
        <x:f>'作業計画'!V16</x:f>
        <x:v>予定前</x:v>
      </x:c>
      <x:c r="AL16" s="289" t="str">
        <x:f>'作業計画'!W16</x:f>
        <x:v>4</x:v>
      </x:c>
      <x:c r="AM16" s="289" t="str">
        <x:f>'作業計画'!J16&amp;IF('作業計画'!K16="",""," / "&amp;'作業計画'!K16)&amp;IF('作業計画'!L16="",""," / "&amp;'作業計画'!L16)</x:f>
        <x:v>00006 / 00007 / 00009</x:v>
      </x:c>
      <x:c r="AN16" s="250" t="str">
        <x:f>'作業計画'!Y16</x:f>
        <x:v>承認対象のスケジュール案</x:v>
      </x:c>
      <x:c r="AO16" s="250" t="str">
        <x:f>IF('作業計画'!Z16="","",'作業計画'!Z16)</x:f>
        <x:v>本ファイルの計画日・担当・日数をレビューし確定する。</x:v>
      </x:c>
      <x:c r="AP16" s="251" t="str">
        <x:f>'作業計画'!X16</x:f>
        <x:v>原資料展開</x:v>
      </x:c>
    </x:row>
    <x:row r="17" ht="54" customHeight="1">
      <x:c r="A17" s="458" t="str">
        <x:f>'作業計画'!A17</x:f>
        <x:v>00011</x:v>
      </x:c>
      <x:c r="B17" s="320" t="str">
        <x:f>'作業計画'!B17</x:f>
        <x:v>01.準備</x:v>
      </x:c>
      <x:c r="C17" s="253" t="str">
        <x:f>'作業計画'!C17</x:f>
        <x:v>プロジェクト計画書・体制・リスクの作成</x:v>
      </x:c>
      <x:c r="D17" s="253" t="str">
        <x:f>'作業計画'!D17</x:f>
        <x:v>PM（要確定）</x:v>
      </x:c>
      <x:c r="E17" s="253" t="str">
        <x:f>'作業計画'!E17</x:f>
        <x:v>共通</x:v>
      </x:c>
      <x:c r="F17" s="291" t="str">
        <x:f>'作業計画'!F17</x:f>
        <x:v>1.高</x:v>
      </x:c>
      <x:c r="G17" s="291" t="str">
        <x:f>'作業計画'!G17</x:f>
        <x:v>00.未確認</x:v>
      </x:c>
      <x:c r="H17" s="306" t="n">
        <x:f>IF('作業計画'!$H17="設計",IF('作業計画'!O17="","",'作業計画'!O17),"")</x:f>
        <x:v>46324</x:v>
      </x:c>
      <x:c r="I17" s="306" t="n">
        <x:f>IF('作業計画'!$H17="設計",IF('作業計画'!P17="","",'作業計画'!P17),"")</x:f>
        <x:v>46325</x:v>
      </x:c>
      <x:c r="J17" s="306" t="str">
        <x:f>IF('作業計画'!$H17="設計",IF('作業計画'!Q17="","",'作業計画'!Q17),"")</x:f>
      </x:c>
      <x:c r="K17" s="306" t="str">
        <x:f>IF('作業計画'!$H17="設計",IF('作業計画'!R17="","",'作業計画'!R17),"")</x:f>
      </x:c>
      <x:c r="L17" s="307" t="n">
        <x:f>IF('作業計画'!$H17="設計",'作業計画'!U17,"")</x:f>
        <x:v>0</x:v>
      </x:c>
      <x:c r="M17" s="291" t="str">
        <x:f>IF('作業計画'!$H17="設計",'作業計画'!V17,"")</x:f>
        <x:v>予定前</x:v>
      </x:c>
      <x:c r="N17" s="306" t="str">
        <x:f>IF('作業計画'!$H17="開発",IF('作業計画'!O17="","",'作業計画'!O17),"")</x:f>
      </x:c>
      <x:c r="O17" s="306" t="str">
        <x:f>IF('作業計画'!$H17="開発",IF('作業計画'!P17="","",'作業計画'!P17),"")</x:f>
      </x:c>
      <x:c r="P17" s="306" t="str">
        <x:f>IF('作業計画'!$H17="開発",IF('作業計画'!Q17="","",'作業計画'!Q17),"")</x:f>
      </x:c>
      <x:c r="Q17" s="306" t="str">
        <x:f>IF('作業計画'!$H17="開発",IF('作業計画'!R17="","",'作業計画'!R17),"")</x:f>
      </x:c>
      <x:c r="R17" s="291" t="str">
        <x:f>IF('作業計画'!$H17="開発",'作業計画'!S17,"")</x:f>
      </x:c>
      <x:c r="S17" s="291" t="str">
        <x:f>IF('作業計画'!$H17="開発",'作業計画'!T17,"")</x:f>
      </x:c>
      <x:c r="T17" s="307" t="str">
        <x:f>IF('作業計画'!$H17="開発",'作業計画'!U17,"")</x:f>
      </x:c>
      <x:c r="U17" s="291" t="str">
        <x:f>IF('作業計画'!$H17="開発",'作業計画'!V17,"")</x:f>
      </x:c>
      <x:c r="V17" s="306" t="str">
        <x:f>IF('作業計画'!$H17="テスト",IF('作業計画'!O17="","",'作業計画'!O17),"")</x:f>
      </x:c>
      <x:c r="W17" s="306" t="str">
        <x:f>IF('作業計画'!$H17="テスト",IF('作業計画'!P17="","",'作業計画'!P17),"")</x:f>
      </x:c>
      <x:c r="X17" s="306" t="str">
        <x:f>IF('作業計画'!$H17="テスト",IF('作業計画'!Q17="","",'作業計画'!Q17),"")</x:f>
      </x:c>
      <x:c r="Y17" s="306" t="str">
        <x:f>IF('作業計画'!$H17="テスト",IF('作業計画'!R17="","",'作業計画'!R17),"")</x:f>
      </x:c>
      <x:c r="Z17" s="291" t="str">
        <x:f>IF('作業計画'!$H17="テスト",'作業計画'!S17,"")</x:f>
      </x:c>
      <x:c r="AA17" s="291" t="str">
        <x:f>IF('作業計画'!$H17="テスト",'作業計画'!T17,"")</x:f>
      </x:c>
      <x:c r="AB17" s="307" t="str">
        <x:f>IF('作業計画'!$H17="テスト",'作業計画'!U17,"")</x:f>
      </x:c>
      <x:c r="AC17" s="291" t="str">
        <x:f>IF('作業計画'!$H17="テスト",'作業計画'!V17,"")</x:f>
      </x:c>
      <x:c r="AD17" s="306" t="n">
        <x:f>IF('作業計画'!O17="","",'作業計画'!O17)</x:f>
        <x:v>46324</x:v>
      </x:c>
      <x:c r="AE17" s="306" t="n">
        <x:f>IF('作業計画'!P17="","",'作業計画'!P17)</x:f>
        <x:v>46325</x:v>
      </x:c>
      <x:c r="AF17" s="306" t="str">
        <x:f>IF('作業計画'!Q17="","",'作業計画'!Q17)</x:f>
      </x:c>
      <x:c r="AG17" s="306" t="str">
        <x:f>IF('作業計画'!R17="","",'作業計画'!R17)</x:f>
      </x:c>
      <x:c r="AH17" s="291" t="n">
        <x:f>'作業計画'!S17</x:f>
        <x:v>1</x:v>
      </x:c>
      <x:c r="AI17" s="291" t="n">
        <x:f>'作業計画'!T17</x:f>
        <x:v>0</x:v>
      </x:c>
      <x:c r="AJ17" s="307" t="n">
        <x:f>'作業計画'!U17</x:f>
        <x:v>0</x:v>
      </x:c>
      <x:c r="AK17" s="291" t="str">
        <x:f>'作業計画'!V17</x:f>
        <x:v>予定前</x:v>
      </x:c>
      <x:c r="AL17" s="291" t="str">
        <x:f>'作業計画'!W17</x:f>
        <x:v>13</x:v>
      </x:c>
      <x:c r="AM17" s="291" t="str">
        <x:f>'作業計画'!J17&amp;IF('作業計画'!K17="",""," / "&amp;'作業計画'!K17)&amp;IF('作業計画'!L17="",""," / "&amp;'作業計画'!L17)</x:f>
        <x:v>00010 / 00008</x:v>
      </x:c>
      <x:c r="AN17" s="253" t="str">
        <x:f>'作業計画'!Y17</x:f>
        <x:v>目的・スコープ・体制・暫定構成・リスクを記載した計画書</x:v>
      </x:c>
      <x:c r="AO17" s="253" t="str">
        <x:f>IF('作業計画'!Z17="","",'作業計画'!Z17)</x:f>
        <x:v>楊さん参加予定。クレアさんは申請中（元資料記載、要再確認）。</x:v>
      </x:c>
      <x:c r="AP17" s="254" t="str">
        <x:f>'作業計画'!X17</x:f>
        <x:v>原資料展開</x:v>
      </x:c>
    </x:row>
    <x:row r="18" ht="54" customHeight="1">
      <x:c r="A18" s="457" t="str">
        <x:f>'作業計画'!A18</x:f>
        <x:v>00012</x:v>
      </x:c>
      <x:c r="B18" s="320" t="str">
        <x:f>'作業計画'!B18</x:f>
        <x:v>01.準備</x:v>
      </x:c>
      <x:c r="C18" s="250" t="str">
        <x:f>'作業計画'!C18</x:f>
        <x:v>キックオフ・進め方の合意</x:v>
      </x:c>
      <x:c r="D18" s="250" t="str">
        <x:f>'作業計画'!D18</x:f>
        <x:v>PM／関係者（要確定）</x:v>
      </x:c>
      <x:c r="E18" s="250" t="str">
        <x:f>'作業計画'!E18</x:f>
        <x:v>共通</x:v>
      </x:c>
      <x:c r="F18" s="289" t="str">
        <x:f>'作業計画'!F18</x:f>
        <x:v>2.中</x:v>
      </x:c>
      <x:c r="G18" s="289" t="str">
        <x:f>'作業計画'!G18</x:f>
        <x:v>00.未確認</x:v>
      </x:c>
      <x:c r="H18" s="304" t="n">
        <x:f>IF('作業計画'!$H18="設計",IF('作業計画'!O18="","",'作業計画'!O18),"")</x:f>
        <x:v>46328</x:v>
      </x:c>
      <x:c r="I18" s="304" t="n">
        <x:f>IF('作業計画'!$H18="設計",IF('作業計画'!P18="","",'作業計画'!P18),"")</x:f>
        <x:v>46328</x:v>
      </x:c>
      <x:c r="J18" s="304" t="str">
        <x:f>IF('作業計画'!$H18="設計",IF('作業計画'!Q18="","",'作業計画'!Q18),"")</x:f>
      </x:c>
      <x:c r="K18" s="304" t="str">
        <x:f>IF('作業計画'!$H18="設計",IF('作業計画'!R18="","",'作業計画'!R18),"")</x:f>
      </x:c>
      <x:c r="L18" s="305" t="n">
        <x:f>IF('作業計画'!$H18="設計",'作業計画'!U18,"")</x:f>
        <x:v>0</x:v>
      </x:c>
      <x:c r="M18" s="289" t="str">
        <x:f>IF('作業計画'!$H18="設計",'作業計画'!V18,"")</x:f>
        <x:v>予定前</x:v>
      </x:c>
      <x:c r="N18" s="304" t="str">
        <x:f>IF('作業計画'!$H18="開発",IF('作業計画'!O18="","",'作業計画'!O18),"")</x:f>
      </x:c>
      <x:c r="O18" s="304" t="str">
        <x:f>IF('作業計画'!$H18="開発",IF('作業計画'!P18="","",'作業計画'!P18),"")</x:f>
      </x:c>
      <x:c r="P18" s="304" t="str">
        <x:f>IF('作業計画'!$H18="開発",IF('作業計画'!Q18="","",'作業計画'!Q18),"")</x:f>
      </x:c>
      <x:c r="Q18" s="304" t="str">
        <x:f>IF('作業計画'!$H18="開発",IF('作業計画'!R18="","",'作業計画'!R18),"")</x:f>
      </x:c>
      <x:c r="R18" s="289" t="str">
        <x:f>IF('作業計画'!$H18="開発",'作業計画'!S18,"")</x:f>
      </x:c>
      <x:c r="S18" s="289" t="str">
        <x:f>IF('作業計画'!$H18="開発",'作業計画'!T18,"")</x:f>
      </x:c>
      <x:c r="T18" s="305" t="str">
        <x:f>IF('作業計画'!$H18="開発",'作業計画'!U18,"")</x:f>
      </x:c>
      <x:c r="U18" s="289" t="str">
        <x:f>IF('作業計画'!$H18="開発",'作業計画'!V18,"")</x:f>
      </x:c>
      <x:c r="V18" s="304" t="str">
        <x:f>IF('作業計画'!$H18="テスト",IF('作業計画'!O18="","",'作業計画'!O18),"")</x:f>
      </x:c>
      <x:c r="W18" s="304" t="str">
        <x:f>IF('作業計画'!$H18="テスト",IF('作業計画'!P18="","",'作業計画'!P18),"")</x:f>
      </x:c>
      <x:c r="X18" s="304" t="str">
        <x:f>IF('作業計画'!$H18="テスト",IF('作業計画'!Q18="","",'作業計画'!Q18),"")</x:f>
      </x:c>
      <x:c r="Y18" s="304" t="str">
        <x:f>IF('作業計画'!$H18="テスト",IF('作業計画'!R18="","",'作業計画'!R18),"")</x:f>
      </x:c>
      <x:c r="Z18" s="289" t="str">
        <x:f>IF('作業計画'!$H18="テスト",'作業計画'!S18,"")</x:f>
      </x:c>
      <x:c r="AA18" s="289" t="str">
        <x:f>IF('作業計画'!$H18="テスト",'作業計画'!T18,"")</x:f>
      </x:c>
      <x:c r="AB18" s="305" t="str">
        <x:f>IF('作業計画'!$H18="テスト",'作業計画'!U18,"")</x:f>
      </x:c>
      <x:c r="AC18" s="289" t="str">
        <x:f>IF('作業計画'!$H18="テスト",'作業計画'!V18,"")</x:f>
      </x:c>
      <x:c r="AD18" s="304" t="n">
        <x:f>IF('作業計画'!O18="","",'作業計画'!O18)</x:f>
        <x:v>46328</x:v>
      </x:c>
      <x:c r="AE18" s="304" t="n">
        <x:f>IF('作業計画'!P18="","",'作業計画'!P18)</x:f>
        <x:v>46328</x:v>
      </x:c>
      <x:c r="AF18" s="304" t="str">
        <x:f>IF('作業計画'!Q18="","",'作業計画'!Q18)</x:f>
      </x:c>
      <x:c r="AG18" s="304" t="str">
        <x:f>IF('作業計画'!R18="","",'作業計画'!R18)</x:f>
      </x:c>
      <x:c r="AH18" s="289" t="n">
        <x:f>'作業計画'!S18</x:f>
        <x:v>1</x:v>
      </x:c>
      <x:c r="AI18" s="289" t="n">
        <x:f>'作業計画'!T18</x:f>
        <x:v>0</x:v>
      </x:c>
      <x:c r="AJ18" s="305" t="n">
        <x:f>'作業計画'!U18</x:f>
        <x:v>0</x:v>
      </x:c>
      <x:c r="AK18" s="289" t="str">
        <x:f>'作業計画'!V18</x:f>
        <x:v>予定前</x:v>
      </x:c>
      <x:c r="AL18" s="289" t="str">
        <x:f>'作業計画'!W18</x:f>
        <x:v>14</x:v>
      </x:c>
      <x:c r="AM18" s="289" t="str">
        <x:f>'作業計画'!J18&amp;IF('作業計画'!K18="",""," / "&amp;'作業計画'!K18)&amp;IF('作業計画'!L18="",""," / "&amp;'作業計画'!L18)</x:f>
        <x:v>00011</x:v>
      </x:c>
      <x:c r="AN18" s="250" t="str">
        <x:f>'作業計画'!Y18</x:f>
        <x:v>キックオフ議事録・合意事項</x:v>
      </x:c>
      <x:c r="AO18" s="250" t="str">
        <x:f>IF('作業計画'!Z18="","",'作業計画'!Z18)</x:f>
      </x:c>
      <x:c r="AP18" s="251" t="str">
        <x:f>'作業計画'!X18</x:f>
        <x:v>原資料展開</x:v>
      </x:c>
    </x:row>
    <x:row r="19" ht="54" customHeight="1">
      <x:c r="A19" s="458" t="str">
        <x:f>'作業計画'!A19</x:f>
        <x:v>00013</x:v>
      </x:c>
      <x:c r="B19" s="322" t="str">
        <x:f>'作業計画'!B19</x:f>
        <x:v>02.要件・設計</x:v>
      </x:c>
      <x:c r="C19" s="253" t="str">
        <x:f>'作業計画'!C19</x:f>
        <x:v>To-Be全体構成・今回の開発範囲を設計</x:v>
      </x:c>
      <x:c r="D19" s="253" t="str">
        <x:f>'作業計画'!D19</x:f>
        <x:v>アーキテクト（要確定）</x:v>
      </x:c>
      <x:c r="E19" s="253" t="str">
        <x:f>'作業計画'!E19</x:f>
        <x:v>Fabric</x:v>
      </x:c>
      <x:c r="F19" s="291" t="str">
        <x:f>'作業計画'!F19</x:f>
        <x:v>1.高</x:v>
      </x:c>
      <x:c r="G19" s="291" t="str">
        <x:f>'作業計画'!G19</x:f>
        <x:v>00.未確認</x:v>
      </x:c>
      <x:c r="H19" s="306" t="n">
        <x:f>IF('作業計画'!$H19="設計",IF('作業計画'!O19="","",'作業計画'!O19),"")</x:f>
        <x:v>46329</x:v>
      </x:c>
      <x:c r="I19" s="306" t="n">
        <x:f>IF('作業計画'!$H19="設計",IF('作業計画'!P19="","",'作業計画'!P19),"")</x:f>
        <x:v>46331</x:v>
      </x:c>
      <x:c r="J19" s="306" t="str">
        <x:f>IF('作業計画'!$H19="設計",IF('作業計画'!Q19="","",'作業計画'!Q19),"")</x:f>
      </x:c>
      <x:c r="K19" s="306" t="str">
        <x:f>IF('作業計画'!$H19="設計",IF('作業計画'!R19="","",'作業計画'!R19),"")</x:f>
      </x:c>
      <x:c r="L19" s="307" t="n">
        <x:f>IF('作業計画'!$H19="設計",'作業計画'!U19,"")</x:f>
        <x:v>0</x:v>
      </x:c>
      <x:c r="M19" s="291" t="str">
        <x:f>IF('作業計画'!$H19="設計",'作業計画'!V19,"")</x:f>
        <x:v>予定前</x:v>
      </x:c>
      <x:c r="N19" s="306" t="str">
        <x:f>IF('作業計画'!$H19="開発",IF('作業計画'!O19="","",'作業計画'!O19),"")</x:f>
      </x:c>
      <x:c r="O19" s="306" t="str">
        <x:f>IF('作業計画'!$H19="開発",IF('作業計画'!P19="","",'作業計画'!P19),"")</x:f>
      </x:c>
      <x:c r="P19" s="306" t="str">
        <x:f>IF('作業計画'!$H19="開発",IF('作業計画'!Q19="","",'作業計画'!Q19),"")</x:f>
      </x:c>
      <x:c r="Q19" s="306" t="str">
        <x:f>IF('作業計画'!$H19="開発",IF('作業計画'!R19="","",'作業計画'!R19),"")</x:f>
      </x:c>
      <x:c r="R19" s="291" t="str">
        <x:f>IF('作業計画'!$H19="開発",'作業計画'!S19,"")</x:f>
      </x:c>
      <x:c r="S19" s="291" t="str">
        <x:f>IF('作業計画'!$H19="開発",'作業計画'!T19,"")</x:f>
      </x:c>
      <x:c r="T19" s="307" t="str">
        <x:f>IF('作業計画'!$H19="開発",'作業計画'!U19,"")</x:f>
      </x:c>
      <x:c r="U19" s="291" t="str">
        <x:f>IF('作業計画'!$H19="開発",'作業計画'!V19,"")</x:f>
      </x:c>
      <x:c r="V19" s="306" t="str">
        <x:f>IF('作業計画'!$H19="テスト",IF('作業計画'!O19="","",'作業計画'!O19),"")</x:f>
      </x:c>
      <x:c r="W19" s="306" t="str">
        <x:f>IF('作業計画'!$H19="テスト",IF('作業計画'!P19="","",'作業計画'!P19),"")</x:f>
      </x:c>
      <x:c r="X19" s="306" t="str">
        <x:f>IF('作業計画'!$H19="テスト",IF('作業計画'!Q19="","",'作業計画'!Q19),"")</x:f>
      </x:c>
      <x:c r="Y19" s="306" t="str">
        <x:f>IF('作業計画'!$H19="テスト",IF('作業計画'!R19="","",'作業計画'!R19),"")</x:f>
      </x:c>
      <x:c r="Z19" s="291" t="str">
        <x:f>IF('作業計画'!$H19="テスト",'作業計画'!S19,"")</x:f>
      </x:c>
      <x:c r="AA19" s="291" t="str">
        <x:f>IF('作業計画'!$H19="テスト",'作業計画'!T19,"")</x:f>
      </x:c>
      <x:c r="AB19" s="307" t="str">
        <x:f>IF('作業計画'!$H19="テスト",'作業計画'!U19,"")</x:f>
      </x:c>
      <x:c r="AC19" s="291" t="str">
        <x:f>IF('作業計画'!$H19="テスト",'作業計画'!V19,"")</x:f>
      </x:c>
      <x:c r="AD19" s="306" t="n">
        <x:f>IF('作業計画'!O19="","",'作業計画'!O19)</x:f>
        <x:v>46329</x:v>
      </x:c>
      <x:c r="AE19" s="306" t="n">
        <x:f>IF('作業計画'!P19="","",'作業計画'!P19)</x:f>
        <x:v>46331</x:v>
      </x:c>
      <x:c r="AF19" s="306" t="str">
        <x:f>IF('作業計画'!Q19="","",'作業計画'!Q19)</x:f>
      </x:c>
      <x:c r="AG19" s="306" t="str">
        <x:f>IF('作業計画'!R19="","",'作業計画'!R19)</x:f>
      </x:c>
      <x:c r="AH19" s="291" t="n">
        <x:f>'作業計画'!S19</x:f>
        <x:v>1</x:v>
      </x:c>
      <x:c r="AI19" s="291" t="n">
        <x:f>'作業計画'!T19</x:f>
        <x:v>0</x:v>
      </x:c>
      <x:c r="AJ19" s="307" t="n">
        <x:f>'作業計画'!U19</x:f>
        <x:v>0</x:v>
      </x:c>
      <x:c r="AK19" s="291" t="str">
        <x:f>'作業計画'!V19</x:f>
        <x:v>予定前</x:v>
      </x:c>
      <x:c r="AL19" s="291" t="str">
        <x:f>'作業計画'!W19</x:f>
        <x:v>11</x:v>
      </x:c>
      <x:c r="AM19" s="291" t="str">
        <x:f>'作業計画'!J19&amp;IF('作業計画'!K19="",""," / "&amp;'作業計画'!K19)&amp;IF('作業計画'!L19="",""," / "&amp;'作業計画'!L19)</x:f>
        <x:v>00012 / 00004</x:v>
      </x:c>
      <x:c r="AN19" s="253" t="str">
        <x:f>'作業計画'!Y19</x:f>
        <x:v>全体構成図・処理フロー・開発範囲</x:v>
      </x:c>
      <x:c r="AO19" s="253" t="str">
        <x:f>IF('作業計画'!Z19="","",'作業計画'!Z19)</x:f>
      </x:c>
      <x:c r="AP19" s="254" t="str">
        <x:f>'作業計画'!X19</x:f>
        <x:v>原資料展開</x:v>
      </x:c>
    </x:row>
    <x:row r="20" ht="54" customHeight="1">
      <x:c r="A20" s="457" t="str">
        <x:f>'作業計画'!A20</x:f>
        <x:v>00014</x:v>
      </x:c>
      <x:c r="B20" s="322" t="str">
        <x:f>'作業計画'!B20</x:f>
        <x:v>02.要件・設計</x:v>
      </x:c>
      <x:c r="C20" s="250" t="str">
        <x:f>'作業計画'!C20</x:f>
        <x:v>NextForce開発環境への接続・コピー可否確認</x:v>
      </x:c>
      <x:c r="D20" s="250" t="str">
        <x:f>'作業計画'!D20</x:f>
        <x:v>PM／接続先管理者（要確定）</x:v>
      </x:c>
      <x:c r="E20" s="250" t="str">
        <x:f>'作業計画'!E20</x:f>
        <x:v>Fabric／NextForce</x:v>
      </x:c>
      <x:c r="F20" s="289" t="str">
        <x:f>'作業計画'!F20</x:f>
        <x:v>1.高</x:v>
      </x:c>
      <x:c r="G20" s="289" t="str">
        <x:f>'作業計画'!G20</x:f>
        <x:v>00.未確認</x:v>
      </x:c>
      <x:c r="H20" s="304" t="n">
        <x:f>IF('作業計画'!$H20="設計",IF('作業計画'!O20="","",'作業計画'!O20),"")</x:f>
        <x:v>46332</x:v>
      </x:c>
      <x:c r="I20" s="304" t="n">
        <x:f>IF('作業計画'!$H20="設計",IF('作業計画'!P20="","",'作業計画'!P20),"")</x:f>
        <x:v>46335</x:v>
      </x:c>
      <x:c r="J20" s="304" t="str">
        <x:f>IF('作業計画'!$H20="設計",IF('作業計画'!Q20="","",'作業計画'!Q20),"")</x:f>
      </x:c>
      <x:c r="K20" s="304" t="str">
        <x:f>IF('作業計画'!$H20="設計",IF('作業計画'!R20="","",'作業計画'!R20),"")</x:f>
      </x:c>
      <x:c r="L20" s="305" t="n">
        <x:f>IF('作業計画'!$H20="設計",'作業計画'!U20,"")</x:f>
        <x:v>0</x:v>
      </x:c>
      <x:c r="M20" s="289" t="str">
        <x:f>IF('作業計画'!$H20="設計",'作業計画'!V20,"")</x:f>
        <x:v>予定前</x:v>
      </x:c>
      <x:c r="N20" s="304" t="str">
        <x:f>IF('作業計画'!$H20="開発",IF('作業計画'!O20="","",'作業計画'!O20),"")</x:f>
      </x:c>
      <x:c r="O20" s="304" t="str">
        <x:f>IF('作業計画'!$H20="開発",IF('作業計画'!P20="","",'作業計画'!P20),"")</x:f>
      </x:c>
      <x:c r="P20" s="304" t="str">
        <x:f>IF('作業計画'!$H20="開発",IF('作業計画'!Q20="","",'作業計画'!Q20),"")</x:f>
      </x:c>
      <x:c r="Q20" s="304" t="str">
        <x:f>IF('作業計画'!$H20="開発",IF('作業計画'!R20="","",'作業計画'!R20),"")</x:f>
      </x:c>
      <x:c r="R20" s="289" t="str">
        <x:f>IF('作業計画'!$H20="開発",'作業計画'!S20,"")</x:f>
      </x:c>
      <x:c r="S20" s="289" t="str">
        <x:f>IF('作業計画'!$H20="開発",'作業計画'!T20,"")</x:f>
      </x:c>
      <x:c r="T20" s="305" t="str">
        <x:f>IF('作業計画'!$H20="開発",'作業計画'!U20,"")</x:f>
      </x:c>
      <x:c r="U20" s="289" t="str">
        <x:f>IF('作業計画'!$H20="開発",'作業計画'!V20,"")</x:f>
      </x:c>
      <x:c r="V20" s="304" t="str">
        <x:f>IF('作業計画'!$H20="テスト",IF('作業計画'!O20="","",'作業計画'!O20),"")</x:f>
      </x:c>
      <x:c r="W20" s="304" t="str">
        <x:f>IF('作業計画'!$H20="テスト",IF('作業計画'!P20="","",'作業計画'!P20),"")</x:f>
      </x:c>
      <x:c r="X20" s="304" t="str">
        <x:f>IF('作業計画'!$H20="テスト",IF('作業計画'!Q20="","",'作業計画'!Q20),"")</x:f>
      </x:c>
      <x:c r="Y20" s="304" t="str">
        <x:f>IF('作業計画'!$H20="テスト",IF('作業計画'!R20="","",'作業計画'!R20),"")</x:f>
      </x:c>
      <x:c r="Z20" s="289" t="str">
        <x:f>IF('作業計画'!$H20="テスト",'作業計画'!S20,"")</x:f>
      </x:c>
      <x:c r="AA20" s="289" t="str">
        <x:f>IF('作業計画'!$H20="テスト",'作業計画'!T20,"")</x:f>
      </x:c>
      <x:c r="AB20" s="305" t="str">
        <x:f>IF('作業計画'!$H20="テスト",'作業計画'!U20,"")</x:f>
      </x:c>
      <x:c r="AC20" s="289" t="str">
        <x:f>IF('作業計画'!$H20="テスト",'作業計画'!V20,"")</x:f>
      </x:c>
      <x:c r="AD20" s="304" t="n">
        <x:f>IF('作業計画'!O20="","",'作業計画'!O20)</x:f>
        <x:v>46332</x:v>
      </x:c>
      <x:c r="AE20" s="304" t="n">
        <x:f>IF('作業計画'!P20="","",'作業計画'!P20)</x:f>
        <x:v>46335</x:v>
      </x:c>
      <x:c r="AF20" s="304" t="str">
        <x:f>IF('作業計画'!Q20="","",'作業計画'!Q20)</x:f>
      </x:c>
      <x:c r="AG20" s="304" t="str">
        <x:f>IF('作業計画'!R20="","",'作業計画'!R20)</x:f>
      </x:c>
      <x:c r="AH20" s="289" t="n">
        <x:f>'作業計画'!S20</x:f>
        <x:v>1</x:v>
      </x:c>
      <x:c r="AI20" s="289" t="n">
        <x:f>'作業計画'!T20</x:f>
        <x:v>0</x:v>
      </x:c>
      <x:c r="AJ20" s="305" t="n">
        <x:f>'作業計画'!U20</x:f>
        <x:v>0</x:v>
      </x:c>
      <x:c r="AK20" s="289" t="str">
        <x:f>'作業計画'!V20</x:f>
        <x:v>予定前</x:v>
      </x:c>
      <x:c r="AL20" s="289" t="str">
        <x:f>'作業計画'!W20</x:f>
        <x:v>12</x:v>
      </x:c>
      <x:c r="AM20" s="289" t="str">
        <x:f>'作業計画'!J20&amp;IF('作業計画'!K20="",""," / "&amp;'作業計画'!K20)&amp;IF('作業計画'!L20="",""," / "&amp;'作業計画'!L20)</x:f>
        <x:v>00013</x:v>
      </x:c>
      <x:c r="AN20" s="250" t="str">
        <x:f>'作業計画'!Y20</x:f>
        <x:v>テスト接続・データコピーの許可</x:v>
      </x:c>
      <x:c r="AO20" s="250" t="str">
        <x:f>IF('作業計画'!Z20="","",'作業計画'!Z20)</x:f>
        <x:v>しまださんに確認。許可前にデータコピーしない。</x:v>
      </x:c>
      <x:c r="AP20" s="251" t="str">
        <x:f>'作業計画'!X20</x:f>
        <x:v>原資料展開</x:v>
      </x:c>
    </x:row>
    <x:row r="21" ht="54" customHeight="1">
      <x:c r="A21" s="458" t="str">
        <x:f>'作業計画'!A21</x:f>
        <x:v>00015</x:v>
      </x:c>
      <x:c r="B21" s="322" t="str">
        <x:f>'作業計画'!B21</x:f>
        <x:v>02.要件・設計</x:v>
      </x:c>
      <x:c r="C21" s="253" t="str">
        <x:f>'作業計画'!C21</x:f>
        <x:v>ワークスペース・Lakehouse権限設計</x:v>
      </x:c>
      <x:c r="D21" s="253" t="str">
        <x:f>'作業計画'!D21</x:f>
        <x:v>基盤担当（要確定）</x:v>
      </x:c>
      <x:c r="E21" s="253" t="str">
        <x:f>'作業計画'!E21</x:f>
        <x:v>Fabric</x:v>
      </x:c>
      <x:c r="F21" s="291" t="str">
        <x:f>'作業計画'!F21</x:f>
        <x:v>2.中</x:v>
      </x:c>
      <x:c r="G21" s="291" t="str">
        <x:f>'作業計画'!G21</x:f>
        <x:v>00.未確認</x:v>
      </x:c>
      <x:c r="H21" s="306" t="n">
        <x:f>IF('作業計画'!$H21="設計",IF('作業計画'!O21="","",'作業計画'!O21),"")</x:f>
        <x:v>46332</x:v>
      </x:c>
      <x:c r="I21" s="306" t="n">
        <x:f>IF('作業計画'!$H21="設計",IF('作業計画'!P21="","",'作業計画'!P21),"")</x:f>
        <x:v>46335</x:v>
      </x:c>
      <x:c r="J21" s="306" t="str">
        <x:f>IF('作業計画'!$H21="設計",IF('作業計画'!Q21="","",'作業計画'!Q21),"")</x:f>
      </x:c>
      <x:c r="K21" s="306" t="str">
        <x:f>IF('作業計画'!$H21="設計",IF('作業計画'!R21="","",'作業計画'!R21),"")</x:f>
      </x:c>
      <x:c r="L21" s="307" t="n">
        <x:f>IF('作業計画'!$H21="設計",'作業計画'!U21,"")</x:f>
        <x:v>0</x:v>
      </x:c>
      <x:c r="M21" s="291" t="str">
        <x:f>IF('作業計画'!$H21="設計",'作業計画'!V21,"")</x:f>
        <x:v>予定前</x:v>
      </x:c>
      <x:c r="N21" s="306" t="str">
        <x:f>IF('作業計画'!$H21="開発",IF('作業計画'!O21="","",'作業計画'!O21),"")</x:f>
      </x:c>
      <x:c r="O21" s="306" t="str">
        <x:f>IF('作業計画'!$H21="開発",IF('作業計画'!P21="","",'作業計画'!P21),"")</x:f>
      </x:c>
      <x:c r="P21" s="306" t="str">
        <x:f>IF('作業計画'!$H21="開発",IF('作業計画'!Q21="","",'作業計画'!Q21),"")</x:f>
      </x:c>
      <x:c r="Q21" s="306" t="str">
        <x:f>IF('作業計画'!$H21="開発",IF('作業計画'!R21="","",'作業計画'!R21),"")</x:f>
      </x:c>
      <x:c r="R21" s="291" t="str">
        <x:f>IF('作業計画'!$H21="開発",'作業計画'!S21,"")</x:f>
      </x:c>
      <x:c r="S21" s="291" t="str">
        <x:f>IF('作業計画'!$H21="開発",'作業計画'!T21,"")</x:f>
      </x:c>
      <x:c r="T21" s="307" t="str">
        <x:f>IF('作業計画'!$H21="開発",'作業計画'!U21,"")</x:f>
      </x:c>
      <x:c r="U21" s="291" t="str">
        <x:f>IF('作業計画'!$H21="開発",'作業計画'!V21,"")</x:f>
      </x:c>
      <x:c r="V21" s="306" t="str">
        <x:f>IF('作業計画'!$H21="テスト",IF('作業計画'!O21="","",'作業計画'!O21),"")</x:f>
      </x:c>
      <x:c r="W21" s="306" t="str">
        <x:f>IF('作業計画'!$H21="テスト",IF('作業計画'!P21="","",'作業計画'!P21),"")</x:f>
      </x:c>
      <x:c r="X21" s="306" t="str">
        <x:f>IF('作業計画'!$H21="テスト",IF('作業計画'!Q21="","",'作業計画'!Q21),"")</x:f>
      </x:c>
      <x:c r="Y21" s="306" t="str">
        <x:f>IF('作業計画'!$H21="テスト",IF('作業計画'!R21="","",'作業計画'!R21),"")</x:f>
      </x:c>
      <x:c r="Z21" s="291" t="str">
        <x:f>IF('作業計画'!$H21="テスト",'作業計画'!S21,"")</x:f>
      </x:c>
      <x:c r="AA21" s="291" t="str">
        <x:f>IF('作業計画'!$H21="テスト",'作業計画'!T21,"")</x:f>
      </x:c>
      <x:c r="AB21" s="307" t="str">
        <x:f>IF('作業計画'!$H21="テスト",'作業計画'!U21,"")</x:f>
      </x:c>
      <x:c r="AC21" s="291" t="str">
        <x:f>IF('作業計画'!$H21="テスト",'作業計画'!V21,"")</x:f>
      </x:c>
      <x:c r="AD21" s="306" t="n">
        <x:f>IF('作業計画'!O21="","",'作業計画'!O21)</x:f>
        <x:v>46332</x:v>
      </x:c>
      <x:c r="AE21" s="306" t="n">
        <x:f>IF('作業計画'!P21="","",'作業計画'!P21)</x:f>
        <x:v>46335</x:v>
      </x:c>
      <x:c r="AF21" s="306" t="str">
        <x:f>IF('作業計画'!Q21="","",'作業計画'!Q21)</x:f>
      </x:c>
      <x:c r="AG21" s="306" t="str">
        <x:f>IF('作業計画'!R21="","",'作業計画'!R21)</x:f>
      </x:c>
      <x:c r="AH21" s="291" t="n">
        <x:f>'作業計画'!S21</x:f>
        <x:v>1</x:v>
      </x:c>
      <x:c r="AI21" s="291" t="n">
        <x:f>'作業計画'!T21</x:f>
        <x:v>0</x:v>
      </x:c>
      <x:c r="AJ21" s="307" t="n">
        <x:f>'作業計画'!U21</x:f>
        <x:v>0</x:v>
      </x:c>
      <x:c r="AK21" s="291" t="str">
        <x:f>'作業計画'!V21</x:f>
        <x:v>予定前</x:v>
      </x:c>
      <x:c r="AL21" s="291" t="str">
        <x:f>'作業計画'!W21</x:f>
        <x:v>15</x:v>
      </x:c>
      <x:c r="AM21" s="291" t="str">
        <x:f>'作業計画'!J21&amp;IF('作業計画'!K21="",""," / "&amp;'作業計画'!K21)&amp;IF('作業計画'!L21="",""," / "&amp;'作業計画'!L21)</x:f>
        <x:v>00013</x:v>
      </x:c>
      <x:c r="AN21" s="253" t="str">
        <x:f>'作業計画'!Y21</x:f>
        <x:v>DEV／QA／PRODの権限一覧・既存資材への変更要否</x:v>
      </x:c>
      <x:c r="AO21" s="253" t="str">
        <x:f>IF('作業計画'!Z21="","",'作業計画'!Z21)</x:f>
      </x:c>
      <x:c r="AP21" s="254" t="str">
        <x:f>'作業計画'!X21</x:f>
        <x:v>原資料展開</x:v>
      </x:c>
    </x:row>
    <x:row r="22" ht="54" customHeight="1">
      <x:c r="A22" s="457" t="str">
        <x:f>'作業計画'!A22</x:f>
        <x:v>00016</x:v>
      </x:c>
      <x:c r="B22" s="322" t="str">
        <x:f>'作業計画'!B22</x:f>
        <x:v>02.要件・設計</x:v>
      </x:c>
      <x:c r="C22" s="250" t="str">
        <x:f>'作業計画'!C22</x:f>
        <x:v>データ管理者・SharePoint管理・保存期間の整理</x:v>
      </x:c>
      <x:c r="D22" s="250" t="str">
        <x:f>'作業計画'!D22</x:f>
        <x:v>データ管理／運用担当（要確定）</x:v>
      </x:c>
      <x:c r="E22" s="250" t="str">
        <x:f>'作業計画'!E22</x:f>
        <x:v>Fabric／SharePoint</x:v>
      </x:c>
      <x:c r="F22" s="289" t="str">
        <x:f>'作業計画'!F22</x:f>
        <x:v>2.中</x:v>
      </x:c>
      <x:c r="G22" s="289" t="str">
        <x:f>'作業計画'!G22</x:f>
        <x:v>00.未確認</x:v>
      </x:c>
      <x:c r="H22" s="304" t="n">
        <x:f>IF('作業計画'!$H22="設計",IF('作業計画'!O22="","",'作業計画'!O22),"")</x:f>
        <x:v>46332</x:v>
      </x:c>
      <x:c r="I22" s="304" t="n">
        <x:f>IF('作業計画'!$H22="設計",IF('作業計画'!P22="","",'作業計画'!P22),"")</x:f>
        <x:v>46335</x:v>
      </x:c>
      <x:c r="J22" s="304" t="str">
        <x:f>IF('作業計画'!$H22="設計",IF('作業計画'!Q22="","",'作業計画'!Q22),"")</x:f>
      </x:c>
      <x:c r="K22" s="304" t="str">
        <x:f>IF('作業計画'!$H22="設計",IF('作業計画'!R22="","",'作業計画'!R22),"")</x:f>
      </x:c>
      <x:c r="L22" s="305" t="n">
        <x:f>IF('作業計画'!$H22="設計",'作業計画'!U22,"")</x:f>
        <x:v>0</x:v>
      </x:c>
      <x:c r="M22" s="289" t="str">
        <x:f>IF('作業計画'!$H22="設計",'作業計画'!V22,"")</x:f>
        <x:v>予定前</x:v>
      </x:c>
      <x:c r="N22" s="304" t="str">
        <x:f>IF('作業計画'!$H22="開発",IF('作業計画'!O22="","",'作業計画'!O22),"")</x:f>
      </x:c>
      <x:c r="O22" s="304" t="str">
        <x:f>IF('作業計画'!$H22="開発",IF('作業計画'!P22="","",'作業計画'!P22),"")</x:f>
      </x:c>
      <x:c r="P22" s="304" t="str">
        <x:f>IF('作業計画'!$H22="開発",IF('作業計画'!Q22="","",'作業計画'!Q22),"")</x:f>
      </x:c>
      <x:c r="Q22" s="304" t="str">
        <x:f>IF('作業計画'!$H22="開発",IF('作業計画'!R22="","",'作業計画'!R22),"")</x:f>
      </x:c>
      <x:c r="R22" s="289" t="str">
        <x:f>IF('作業計画'!$H22="開発",'作業計画'!S22,"")</x:f>
      </x:c>
      <x:c r="S22" s="289" t="str">
        <x:f>IF('作業計画'!$H22="開発",'作業計画'!T22,"")</x:f>
      </x:c>
      <x:c r="T22" s="305" t="str">
        <x:f>IF('作業計画'!$H22="開発",'作業計画'!U22,"")</x:f>
      </x:c>
      <x:c r="U22" s="289" t="str">
        <x:f>IF('作業計画'!$H22="開発",'作業計画'!V22,"")</x:f>
      </x:c>
      <x:c r="V22" s="304" t="str">
        <x:f>IF('作業計画'!$H22="テスト",IF('作業計画'!O22="","",'作業計画'!O22),"")</x:f>
      </x:c>
      <x:c r="W22" s="304" t="str">
        <x:f>IF('作業計画'!$H22="テスト",IF('作業計画'!P22="","",'作業計画'!P22),"")</x:f>
      </x:c>
      <x:c r="X22" s="304" t="str">
        <x:f>IF('作業計画'!$H22="テスト",IF('作業計画'!Q22="","",'作業計画'!Q22),"")</x:f>
      </x:c>
      <x:c r="Y22" s="304" t="str">
        <x:f>IF('作業計画'!$H22="テスト",IF('作業計画'!R22="","",'作業計画'!R22),"")</x:f>
      </x:c>
      <x:c r="Z22" s="289" t="str">
        <x:f>IF('作業計画'!$H22="テスト",'作業計画'!S22,"")</x:f>
      </x:c>
      <x:c r="AA22" s="289" t="str">
        <x:f>IF('作業計画'!$H22="テスト",'作業計画'!T22,"")</x:f>
      </x:c>
      <x:c r="AB22" s="305" t="str">
        <x:f>IF('作業計画'!$H22="テスト",'作業計画'!U22,"")</x:f>
      </x:c>
      <x:c r="AC22" s="289" t="str">
        <x:f>IF('作業計画'!$H22="テスト",'作業計画'!V22,"")</x:f>
      </x:c>
      <x:c r="AD22" s="304" t="n">
        <x:f>IF('作業計画'!O22="","",'作業計画'!O22)</x:f>
        <x:v>46332</x:v>
      </x:c>
      <x:c r="AE22" s="304" t="n">
        <x:f>IF('作業計画'!P22="","",'作業計画'!P22)</x:f>
        <x:v>46335</x:v>
      </x:c>
      <x:c r="AF22" s="304" t="str">
        <x:f>IF('作業計画'!Q22="","",'作業計画'!Q22)</x:f>
      </x:c>
      <x:c r="AG22" s="304" t="str">
        <x:f>IF('作業計画'!R22="","",'作業計画'!R22)</x:f>
      </x:c>
      <x:c r="AH22" s="289" t="n">
        <x:f>'作業計画'!S22</x:f>
        <x:v>1</x:v>
      </x:c>
      <x:c r="AI22" s="289" t="n">
        <x:f>'作業計画'!T22</x:f>
        <x:v>0</x:v>
      </x:c>
      <x:c r="AJ22" s="305" t="n">
        <x:f>'作業計画'!U22</x:f>
        <x:v>0</x:v>
      </x:c>
      <x:c r="AK22" s="289" t="str">
        <x:f>'作業計画'!V22</x:f>
        <x:v>予定前</x:v>
      </x:c>
      <x:c r="AL22" s="289" t="str">
        <x:f>'作業計画'!W22</x:f>
        <x:v>16</x:v>
      </x:c>
      <x:c r="AM22" s="289" t="str">
        <x:f>'作業計画'!J22&amp;IF('作業計画'!K22="",""," / "&amp;'作業計画'!K22)&amp;IF('作業計画'!L22="",""," / "&amp;'作業計画'!L22)</x:f>
        <x:v>00013</x:v>
      </x:c>
      <x:c r="AN22" s="250" t="str">
        <x:f>'作業計画'!Y22</x:f>
        <x:v>管理責任者・保管先・保存ルールの合意</x:v>
      </x:c>
      <x:c r="AO22" s="250" t="str">
        <x:f>IF('作業計画'!Z22="","",'作業計画'!Z22)</x:f>
      </x:c>
      <x:c r="AP22" s="251" t="str">
        <x:f>'作業計画'!X22</x:f>
        <x:v>原資料展開</x:v>
      </x:c>
    </x:row>
    <x:row r="23" ht="54" customHeight="1">
      <x:c r="A23" s="458" t="str">
        <x:f>'作業計画'!A23</x:f>
        <x:v>00017</x:v>
      </x:c>
      <x:c r="B23" s="322" t="str">
        <x:f>'作業計画'!B23</x:f>
        <x:v>02.要件・設計</x:v>
      </x:c>
      <x:c r="C23" s="253" t="str">
        <x:f>'作業計画'!C23</x:f>
        <x:v>品質基準・データオーナーの確定</x:v>
      </x:c>
      <x:c r="D23" s="253" t="str">
        <x:f>'作業計画'!D23</x:f>
        <x:v>品質／業務担当（要確定）</x:v>
      </x:c>
      <x:c r="E23" s="253" t="str">
        <x:f>'作業計画'!E23</x:f>
        <x:v>Fabric</x:v>
      </x:c>
      <x:c r="F23" s="291" t="str">
        <x:f>'作業計画'!F23</x:f>
        <x:v>2.中</x:v>
      </x:c>
      <x:c r="G23" s="291" t="str">
        <x:f>'作業計画'!G23</x:f>
        <x:v>00.未確認</x:v>
      </x:c>
      <x:c r="H23" s="306" t="n">
        <x:f>IF('作業計画'!$H23="設計",IF('作業計画'!O23="","",'作業計画'!O23),"")</x:f>
        <x:v>46336</x:v>
      </x:c>
      <x:c r="I23" s="306" t="n">
        <x:f>IF('作業計画'!$H23="設計",IF('作業計画'!P23="","",'作業計画'!P23),"")</x:f>
        <x:v>46337</x:v>
      </x:c>
      <x:c r="J23" s="306" t="str">
        <x:f>IF('作業計画'!$H23="設計",IF('作業計画'!Q23="","",'作業計画'!Q23),"")</x:f>
      </x:c>
      <x:c r="K23" s="306" t="str">
        <x:f>IF('作業計画'!$H23="設計",IF('作業計画'!R23="","",'作業計画'!R23),"")</x:f>
      </x:c>
      <x:c r="L23" s="307" t="n">
        <x:f>IF('作業計画'!$H23="設計",'作業計画'!U23,"")</x:f>
        <x:v>0</x:v>
      </x:c>
      <x:c r="M23" s="291" t="str">
        <x:f>IF('作業計画'!$H23="設計",'作業計画'!V23,"")</x:f>
        <x:v>予定前</x:v>
      </x:c>
      <x:c r="N23" s="306" t="str">
        <x:f>IF('作業計画'!$H23="開発",IF('作業計画'!O23="","",'作業計画'!O23),"")</x:f>
      </x:c>
      <x:c r="O23" s="306" t="str">
        <x:f>IF('作業計画'!$H23="開発",IF('作業計画'!P23="","",'作業計画'!P23),"")</x:f>
      </x:c>
      <x:c r="P23" s="306" t="str">
        <x:f>IF('作業計画'!$H23="開発",IF('作業計画'!Q23="","",'作業計画'!Q23),"")</x:f>
      </x:c>
      <x:c r="Q23" s="306" t="str">
        <x:f>IF('作業計画'!$H23="開発",IF('作業計画'!R23="","",'作業計画'!R23),"")</x:f>
      </x:c>
      <x:c r="R23" s="291" t="str">
        <x:f>IF('作業計画'!$H23="開発",'作業計画'!S23,"")</x:f>
      </x:c>
      <x:c r="S23" s="291" t="str">
        <x:f>IF('作業計画'!$H23="開発",'作業計画'!T23,"")</x:f>
      </x:c>
      <x:c r="T23" s="307" t="str">
        <x:f>IF('作業計画'!$H23="開発",'作業計画'!U23,"")</x:f>
      </x:c>
      <x:c r="U23" s="291" t="str">
        <x:f>IF('作業計画'!$H23="開発",'作業計画'!V23,"")</x:f>
      </x:c>
      <x:c r="V23" s="306" t="str">
        <x:f>IF('作業計画'!$H23="テスト",IF('作業計画'!O23="","",'作業計画'!O23),"")</x:f>
      </x:c>
      <x:c r="W23" s="306" t="str">
        <x:f>IF('作業計画'!$H23="テスト",IF('作業計画'!P23="","",'作業計画'!P23),"")</x:f>
      </x:c>
      <x:c r="X23" s="306" t="str">
        <x:f>IF('作業計画'!$H23="テスト",IF('作業計画'!Q23="","",'作業計画'!Q23),"")</x:f>
      </x:c>
      <x:c r="Y23" s="306" t="str">
        <x:f>IF('作業計画'!$H23="テスト",IF('作業計画'!R23="","",'作業計画'!R23),"")</x:f>
      </x:c>
      <x:c r="Z23" s="291" t="str">
        <x:f>IF('作業計画'!$H23="テスト",'作業計画'!S23,"")</x:f>
      </x:c>
      <x:c r="AA23" s="291" t="str">
        <x:f>IF('作業計画'!$H23="テスト",'作業計画'!T23,"")</x:f>
      </x:c>
      <x:c r="AB23" s="307" t="str">
        <x:f>IF('作業計画'!$H23="テスト",'作業計画'!U23,"")</x:f>
      </x:c>
      <x:c r="AC23" s="291" t="str">
        <x:f>IF('作業計画'!$H23="テスト",'作業計画'!V23,"")</x:f>
      </x:c>
      <x:c r="AD23" s="306" t="n">
        <x:f>IF('作業計画'!O23="","",'作業計画'!O23)</x:f>
        <x:v>46336</x:v>
      </x:c>
      <x:c r="AE23" s="306" t="n">
        <x:f>IF('作業計画'!P23="","",'作業計画'!P23)</x:f>
        <x:v>46337</x:v>
      </x:c>
      <x:c r="AF23" s="306" t="str">
        <x:f>IF('作業計画'!Q23="","",'作業計画'!Q23)</x:f>
      </x:c>
      <x:c r="AG23" s="306" t="str">
        <x:f>IF('作業計画'!R23="","",'作業計画'!R23)</x:f>
      </x:c>
      <x:c r="AH23" s="291" t="n">
        <x:f>'作業計画'!S23</x:f>
        <x:v>1</x:v>
      </x:c>
      <x:c r="AI23" s="291" t="n">
        <x:f>'作業計画'!T23</x:f>
        <x:v>0</x:v>
      </x:c>
      <x:c r="AJ23" s="307" t="n">
        <x:f>'作業計画'!U23</x:f>
        <x:v>0</x:v>
      </x:c>
      <x:c r="AK23" s="291" t="str">
        <x:f>'作業計画'!V23</x:f>
        <x:v>予定前</x:v>
      </x:c>
      <x:c r="AL23" s="291" t="str">
        <x:f>'作業計画'!W23</x:f>
        <x:v>17</x:v>
      </x:c>
      <x:c r="AM23" s="291" t="str">
        <x:f>'作業計画'!J23&amp;IF('作業計画'!K23="",""," / "&amp;'作業計画'!K23)&amp;IF('作業計画'!L23="",""," / "&amp;'作業計画'!L23)</x:f>
        <x:v>00016</x:v>
      </x:c>
      <x:c r="AN23" s="253" t="str">
        <x:f>'作業計画'!Y23</x:f>
        <x:v>品質基準・照合基準・データオーナー一覧</x:v>
      </x:c>
      <x:c r="AO23" s="253" t="str">
        <x:f>IF('作業計画'!Z23="","",'作業計画'!Z23)</x:f>
        <x:v>Omni2Fabricと同様の基準を想定。適用可否を確認。</x:v>
      </x:c>
      <x:c r="AP23" s="254" t="str">
        <x:f>'作業計画'!X23</x:f>
        <x:v>原資料展開</x:v>
      </x:c>
    </x:row>
    <x:row r="24" ht="54" customHeight="1">
      <x:c r="A24" s="457" t="str">
        <x:f>'作業計画'!A24</x:f>
        <x:v>00018</x:v>
      </x:c>
      <x:c r="B24" s="322" t="str">
        <x:f>'作業計画'!B24</x:f>
        <x:v>02.要件・設計</x:v>
      </x:c>
      <x:c r="C24" s="250" t="str">
        <x:f>'作業計画'!C24</x:f>
        <x:v>テーブル・行・列の閲覧制御設計</x:v>
      </x:c>
      <x:c r="D24" s="250" t="str">
        <x:f>'作業計画'!D24</x:f>
        <x:v>基盤／セキュリティ担当（要確定）</x:v>
      </x:c>
      <x:c r="E24" s="250" t="str">
        <x:f>'作業計画'!E24</x:f>
        <x:v>Fabric</x:v>
      </x:c>
      <x:c r="F24" s="289" t="str">
        <x:f>'作業計画'!F24</x:f>
        <x:v>1.高</x:v>
      </x:c>
      <x:c r="G24" s="289" t="str">
        <x:f>'作業計画'!G24</x:f>
        <x:v>00.未確認</x:v>
      </x:c>
      <x:c r="H24" s="304" t="n">
        <x:f>IF('作業計画'!$H24="設計",IF('作業計画'!O24="","",'作業計画'!O24),"")</x:f>
        <x:v>46336</x:v>
      </x:c>
      <x:c r="I24" s="304" t="n">
        <x:f>IF('作業計画'!$H24="設計",IF('作業計画'!P24="","",'作業計画'!P24),"")</x:f>
        <x:v>46337</x:v>
      </x:c>
      <x:c r="J24" s="304" t="str">
        <x:f>IF('作業計画'!$H24="設計",IF('作業計画'!Q24="","",'作業計画'!Q24),"")</x:f>
      </x:c>
      <x:c r="K24" s="304" t="str">
        <x:f>IF('作業計画'!$H24="設計",IF('作業計画'!R24="","",'作業計画'!R24),"")</x:f>
      </x:c>
      <x:c r="L24" s="305" t="n">
        <x:f>IF('作業計画'!$H24="設計",'作業計画'!U24,"")</x:f>
        <x:v>0</x:v>
      </x:c>
      <x:c r="M24" s="289" t="str">
        <x:f>IF('作業計画'!$H24="設計",'作業計画'!V24,"")</x:f>
        <x:v>予定前</x:v>
      </x:c>
      <x:c r="N24" s="304" t="str">
        <x:f>IF('作業計画'!$H24="開発",IF('作業計画'!O24="","",'作業計画'!O24),"")</x:f>
      </x:c>
      <x:c r="O24" s="304" t="str">
        <x:f>IF('作業計画'!$H24="開発",IF('作業計画'!P24="","",'作業計画'!P24),"")</x:f>
      </x:c>
      <x:c r="P24" s="304" t="str">
        <x:f>IF('作業計画'!$H24="開発",IF('作業計画'!Q24="","",'作業計画'!Q24),"")</x:f>
      </x:c>
      <x:c r="Q24" s="304" t="str">
        <x:f>IF('作業計画'!$H24="開発",IF('作業計画'!R24="","",'作業計画'!R24),"")</x:f>
      </x:c>
      <x:c r="R24" s="289" t="str">
        <x:f>IF('作業計画'!$H24="開発",'作業計画'!S24,"")</x:f>
      </x:c>
      <x:c r="S24" s="289" t="str">
        <x:f>IF('作業計画'!$H24="開発",'作業計画'!T24,"")</x:f>
      </x:c>
      <x:c r="T24" s="305" t="str">
        <x:f>IF('作業計画'!$H24="開発",'作業計画'!U24,"")</x:f>
      </x:c>
      <x:c r="U24" s="289" t="str">
        <x:f>IF('作業計画'!$H24="開発",'作業計画'!V24,"")</x:f>
      </x:c>
      <x:c r="V24" s="304" t="str">
        <x:f>IF('作業計画'!$H24="テスト",IF('作業計画'!O24="","",'作業計画'!O24),"")</x:f>
      </x:c>
      <x:c r="W24" s="304" t="str">
        <x:f>IF('作業計画'!$H24="テスト",IF('作業計画'!P24="","",'作業計画'!P24),"")</x:f>
      </x:c>
      <x:c r="X24" s="304" t="str">
        <x:f>IF('作業計画'!$H24="テスト",IF('作業計画'!Q24="","",'作業計画'!Q24),"")</x:f>
      </x:c>
      <x:c r="Y24" s="304" t="str">
        <x:f>IF('作業計画'!$H24="テスト",IF('作業計画'!R24="","",'作業計画'!R24),"")</x:f>
      </x:c>
      <x:c r="Z24" s="289" t="str">
        <x:f>IF('作業計画'!$H24="テスト",'作業計画'!S24,"")</x:f>
      </x:c>
      <x:c r="AA24" s="289" t="str">
        <x:f>IF('作業計画'!$H24="テスト",'作業計画'!T24,"")</x:f>
      </x:c>
      <x:c r="AB24" s="305" t="str">
        <x:f>IF('作業計画'!$H24="テスト",'作業計画'!U24,"")</x:f>
      </x:c>
      <x:c r="AC24" s="289" t="str">
        <x:f>IF('作業計画'!$H24="テスト",'作業計画'!V24,"")</x:f>
      </x:c>
      <x:c r="AD24" s="304" t="n">
        <x:f>IF('作業計画'!O24="","",'作業計画'!O24)</x:f>
        <x:v>46336</x:v>
      </x:c>
      <x:c r="AE24" s="304" t="n">
        <x:f>IF('作業計画'!P24="","",'作業計画'!P24)</x:f>
        <x:v>46337</x:v>
      </x:c>
      <x:c r="AF24" s="304" t="str">
        <x:f>IF('作業計画'!Q24="","",'作業計画'!Q24)</x:f>
      </x:c>
      <x:c r="AG24" s="304" t="str">
        <x:f>IF('作業計画'!R24="","",'作業計画'!R24)</x:f>
      </x:c>
      <x:c r="AH24" s="289" t="n">
        <x:f>'作業計画'!S24</x:f>
        <x:v>1</x:v>
      </x:c>
      <x:c r="AI24" s="289" t="n">
        <x:f>'作業計画'!T24</x:f>
        <x:v>0</x:v>
      </x:c>
      <x:c r="AJ24" s="305" t="n">
        <x:f>'作業計画'!U24</x:f>
        <x:v>0</x:v>
      </x:c>
      <x:c r="AK24" s="289" t="str">
        <x:f>'作業計画'!V24</x:f>
        <x:v>予定前</x:v>
      </x:c>
      <x:c r="AL24" s="289" t="str">
        <x:f>'作業計画'!W24</x:f>
        <x:v>18</x:v>
      </x:c>
      <x:c r="AM24" s="289" t="str">
        <x:f>'作業計画'!J24&amp;IF('作業計画'!K24="",""," / "&amp;'作業計画'!K24)&amp;IF('作業計画'!L24="",""," / "&amp;'作業計画'!L24)</x:f>
        <x:v>00015</x:v>
      </x:c>
      <x:c r="AN24" s="250" t="str">
        <x:f>'作業計画'!Y24</x:f>
        <x:v>データ閲覧範囲・ロール・適用単位の設計</x:v>
      </x:c>
      <x:c r="AO24" s="250" t="str">
        <x:f>IF('作業計画'!Z24="","",'作業計画'!Z24)</x:f>
      </x:c>
      <x:c r="AP24" s="251" t="str">
        <x:f>'作業計画'!X24</x:f>
        <x:v>原資料展開</x:v>
      </x:c>
    </x:row>
    <x:row r="25" ht="54" customHeight="1">
      <x:c r="A25" s="458" t="str">
        <x:f>'作業計画'!A25</x:f>
        <x:v>00019</x:v>
      </x:c>
      <x:c r="B25" s="322" t="str">
        <x:f>'作業計画'!B25</x:f>
        <x:v>02.要件・設計</x:v>
      </x:c>
      <x:c r="C25" s="253" t="str">
        <x:f>'作業計画'!C25</x:f>
        <x:v>Product：出力仕様・更新条件・SLAの確定</x:v>
      </x:c>
      <x:c r="D25" s="253" t="str">
        <x:f>'作業計画'!D25</x:f>
        <x:v>業務／設計担当（要確定）</x:v>
      </x:c>
      <x:c r="E25" s="253" t="str">
        <x:f>'作業計画'!E25</x:f>
        <x:v>Fabric</x:v>
      </x:c>
      <x:c r="F25" s="291" t="str">
        <x:f>'作業計画'!F25</x:f>
        <x:v>1.高</x:v>
      </x:c>
      <x:c r="G25" s="291" t="str">
        <x:f>'作業計画'!G25</x:f>
        <x:v>00.未確認</x:v>
      </x:c>
      <x:c r="H25" s="306" t="n">
        <x:f>IF('作業計画'!$H25="設計",IF('作業計画'!O25="","",'作業計画'!O25),"")</x:f>
        <x:v>46338</x:v>
      </x:c>
      <x:c r="I25" s="306" t="n">
        <x:f>IF('作業計画'!$H25="設計",IF('作業計画'!P25="","",'作業計画'!P25),"")</x:f>
        <x:v>46342</x:v>
      </x:c>
      <x:c r="J25" s="306" t="str">
        <x:f>IF('作業計画'!$H25="設計",IF('作業計画'!Q25="","",'作業計画'!Q25),"")</x:f>
      </x:c>
      <x:c r="K25" s="306" t="str">
        <x:f>IF('作業計画'!$H25="設計",IF('作業計画'!R25="","",'作業計画'!R25),"")</x:f>
      </x:c>
      <x:c r="L25" s="307" t="n">
        <x:f>IF('作業計画'!$H25="設計",'作業計画'!U25,"")</x:f>
        <x:v>0</x:v>
      </x:c>
      <x:c r="M25" s="291" t="str">
        <x:f>IF('作業計画'!$H25="設計",'作業計画'!V25,"")</x:f>
        <x:v>予定前</x:v>
      </x:c>
      <x:c r="N25" s="306" t="str">
        <x:f>IF('作業計画'!$H25="開発",IF('作業計画'!O25="","",'作業計画'!O25),"")</x:f>
      </x:c>
      <x:c r="O25" s="306" t="str">
        <x:f>IF('作業計画'!$H25="開発",IF('作業計画'!P25="","",'作業計画'!P25),"")</x:f>
      </x:c>
      <x:c r="P25" s="306" t="str">
        <x:f>IF('作業計画'!$H25="開発",IF('作業計画'!Q25="","",'作業計画'!Q25),"")</x:f>
      </x:c>
      <x:c r="Q25" s="306" t="str">
        <x:f>IF('作業計画'!$H25="開発",IF('作業計画'!R25="","",'作業計画'!R25),"")</x:f>
      </x:c>
      <x:c r="R25" s="291" t="str">
        <x:f>IF('作業計画'!$H25="開発",'作業計画'!S25,"")</x:f>
      </x:c>
      <x:c r="S25" s="291" t="str">
        <x:f>IF('作業計画'!$H25="開発",'作業計画'!T25,"")</x:f>
      </x:c>
      <x:c r="T25" s="307" t="str">
        <x:f>IF('作業計画'!$H25="開発",'作業計画'!U25,"")</x:f>
      </x:c>
      <x:c r="U25" s="291" t="str">
        <x:f>IF('作業計画'!$H25="開発",'作業計画'!V25,"")</x:f>
      </x:c>
      <x:c r="V25" s="306" t="str">
        <x:f>IF('作業計画'!$H25="テスト",IF('作業計画'!O25="","",'作業計画'!O25),"")</x:f>
      </x:c>
      <x:c r="W25" s="306" t="str">
        <x:f>IF('作業計画'!$H25="テスト",IF('作業計画'!P25="","",'作業計画'!P25),"")</x:f>
      </x:c>
      <x:c r="X25" s="306" t="str">
        <x:f>IF('作業計画'!$H25="テスト",IF('作業計画'!Q25="","",'作業計画'!Q25),"")</x:f>
      </x:c>
      <x:c r="Y25" s="306" t="str">
        <x:f>IF('作業計画'!$H25="テスト",IF('作業計画'!R25="","",'作業計画'!R25),"")</x:f>
      </x:c>
      <x:c r="Z25" s="291" t="str">
        <x:f>IF('作業計画'!$H25="テスト",'作業計画'!S25,"")</x:f>
      </x:c>
      <x:c r="AA25" s="291" t="str">
        <x:f>IF('作業計画'!$H25="テスト",'作業計画'!T25,"")</x:f>
      </x:c>
      <x:c r="AB25" s="307" t="str">
        <x:f>IF('作業計画'!$H25="テスト",'作業計画'!U25,"")</x:f>
      </x:c>
      <x:c r="AC25" s="291" t="str">
        <x:f>IF('作業計画'!$H25="テスト",'作業計画'!V25,"")</x:f>
      </x:c>
      <x:c r="AD25" s="306" t="n">
        <x:f>IF('作業計画'!O25="","",'作業計画'!O25)</x:f>
        <x:v>46338</x:v>
      </x:c>
      <x:c r="AE25" s="306" t="n">
        <x:f>IF('作業計画'!P25="","",'作業計画'!P25)</x:f>
        <x:v>46342</x:v>
      </x:c>
      <x:c r="AF25" s="306" t="str">
        <x:f>IF('作業計画'!Q25="","",'作業計画'!Q25)</x:f>
      </x:c>
      <x:c r="AG25" s="306" t="str">
        <x:f>IF('作業計画'!R25="","",'作業計画'!R25)</x:f>
      </x:c>
      <x:c r="AH25" s="291" t="n">
        <x:f>'作業計画'!S25</x:f>
        <x:v>1</x:v>
      </x:c>
      <x:c r="AI25" s="291" t="n">
        <x:f>'作業計画'!T25</x:f>
        <x:v>0</x:v>
      </x:c>
      <x:c r="AJ25" s="307" t="n">
        <x:f>'作業計画'!U25</x:f>
        <x:v>0</x:v>
      </x:c>
      <x:c r="AK25" s="291" t="str">
        <x:f>'作業計画'!V25</x:f>
        <x:v>予定前</x:v>
      </x:c>
      <x:c r="AL25" s="291" t="str">
        <x:f>'作業計画'!W25</x:f>
        <x:v>19</x:v>
      </x:c>
      <x:c r="AM25" s="291" t="str">
        <x:f>'作業計画'!J25&amp;IF('作業計画'!K25="",""," / "&amp;'作業計画'!K25)&amp;IF('作業計画'!L25="",""," / "&amp;'作業計画'!L25)</x:f>
        <x:v>00006 / 00007 / 00017</x:v>
      </x:c>
      <x:c r="AN25" s="253" t="str">
        <x:f>'作業計画'!Y25</x:f>
        <x:v>出力列・型・設定値・更新頻度・時刻・SLA・例外通知の合意</x:v>
      </x:c>
      <x:c r="AO25" s="253" t="str">
        <x:f>IF('作業計画'!Z25="","",'作業計画'!Z25)</x:f>
      </x:c>
      <x:c r="AP25" s="254" t="str">
        <x:f>'作業計画'!X25</x:f>
        <x:v>原資料展開</x:v>
      </x:c>
    </x:row>
    <x:row r="26" ht="54" customHeight="1">
      <x:c r="A26" s="457" t="str">
        <x:f>'作業計画'!A26</x:f>
        <x:v>00020</x:v>
      </x:c>
      <x:c r="B26" s="322" t="str">
        <x:f>'作業計画'!B26</x:f>
        <x:v>02.要件・設計</x:v>
      </x:c>
      <x:c r="C26" s="250" t="str">
        <x:f>'作業計画'!C26</x:f>
        <x:v>Contact：出力仕様・更新条件・SLAの確定</x:v>
      </x:c>
      <x:c r="D26" s="250" t="str">
        <x:f>'作業計画'!D26</x:f>
        <x:v>業務／設計担当（要確定）</x:v>
      </x:c>
      <x:c r="E26" s="250" t="str">
        <x:f>'作業計画'!E26</x:f>
        <x:v>Fabric</x:v>
      </x:c>
      <x:c r="F26" s="289" t="str">
        <x:f>'作業計画'!F26</x:f>
        <x:v>1.高</x:v>
      </x:c>
      <x:c r="G26" s="289" t="str">
        <x:f>'作業計画'!G26</x:f>
        <x:v>00.未確認</x:v>
      </x:c>
      <x:c r="H26" s="304" t="n">
        <x:f>IF('作業計画'!$H26="設計",IF('作業計画'!O26="","",'作業計画'!O26),"")</x:f>
        <x:v>46338</x:v>
      </x:c>
      <x:c r="I26" s="304" t="n">
        <x:f>IF('作業計画'!$H26="設計",IF('作業計画'!P26="","",'作業計画'!P26),"")</x:f>
        <x:v>46342</x:v>
      </x:c>
      <x:c r="J26" s="304" t="str">
        <x:f>IF('作業計画'!$H26="設計",IF('作業計画'!Q26="","",'作業計画'!Q26),"")</x:f>
      </x:c>
      <x:c r="K26" s="304" t="str">
        <x:f>IF('作業計画'!$H26="設計",IF('作業計画'!R26="","",'作業計画'!R26),"")</x:f>
      </x:c>
      <x:c r="L26" s="305" t="n">
        <x:f>IF('作業計画'!$H26="設計",'作業計画'!U26,"")</x:f>
        <x:v>0</x:v>
      </x:c>
      <x:c r="M26" s="289" t="str">
        <x:f>IF('作業計画'!$H26="設計",'作業計画'!V26,"")</x:f>
        <x:v>予定前</x:v>
      </x:c>
      <x:c r="N26" s="304" t="str">
        <x:f>IF('作業計画'!$H26="開発",IF('作業計画'!O26="","",'作業計画'!O26),"")</x:f>
      </x:c>
      <x:c r="O26" s="304" t="str">
        <x:f>IF('作業計画'!$H26="開発",IF('作業計画'!P26="","",'作業計画'!P26),"")</x:f>
      </x:c>
      <x:c r="P26" s="304" t="str">
        <x:f>IF('作業計画'!$H26="開発",IF('作業計画'!Q26="","",'作業計画'!Q26),"")</x:f>
      </x:c>
      <x:c r="Q26" s="304" t="str">
        <x:f>IF('作業計画'!$H26="開発",IF('作業計画'!R26="","",'作業計画'!R26),"")</x:f>
      </x:c>
      <x:c r="R26" s="289" t="str">
        <x:f>IF('作業計画'!$H26="開発",'作業計画'!S26,"")</x:f>
      </x:c>
      <x:c r="S26" s="289" t="str">
        <x:f>IF('作業計画'!$H26="開発",'作業計画'!T26,"")</x:f>
      </x:c>
      <x:c r="T26" s="305" t="str">
        <x:f>IF('作業計画'!$H26="開発",'作業計画'!U26,"")</x:f>
      </x:c>
      <x:c r="U26" s="289" t="str">
        <x:f>IF('作業計画'!$H26="開発",'作業計画'!V26,"")</x:f>
      </x:c>
      <x:c r="V26" s="304" t="str">
        <x:f>IF('作業計画'!$H26="テスト",IF('作業計画'!O26="","",'作業計画'!O26),"")</x:f>
      </x:c>
      <x:c r="W26" s="304" t="str">
        <x:f>IF('作業計画'!$H26="テスト",IF('作業計画'!P26="","",'作業計画'!P26),"")</x:f>
      </x:c>
      <x:c r="X26" s="304" t="str">
        <x:f>IF('作業計画'!$H26="テスト",IF('作業計画'!Q26="","",'作業計画'!Q26),"")</x:f>
      </x:c>
      <x:c r="Y26" s="304" t="str">
        <x:f>IF('作業計画'!$H26="テスト",IF('作業計画'!R26="","",'作業計画'!R26),"")</x:f>
      </x:c>
      <x:c r="Z26" s="289" t="str">
        <x:f>IF('作業計画'!$H26="テスト",'作業計画'!S26,"")</x:f>
      </x:c>
      <x:c r="AA26" s="289" t="str">
        <x:f>IF('作業計画'!$H26="テスト",'作業計画'!T26,"")</x:f>
      </x:c>
      <x:c r="AB26" s="305" t="str">
        <x:f>IF('作業計画'!$H26="テスト",'作業計画'!U26,"")</x:f>
      </x:c>
      <x:c r="AC26" s="289" t="str">
        <x:f>IF('作業計画'!$H26="テスト",'作業計画'!V26,"")</x:f>
      </x:c>
      <x:c r="AD26" s="304" t="n">
        <x:f>IF('作業計画'!O26="","",'作業計画'!O26)</x:f>
        <x:v>46338</x:v>
      </x:c>
      <x:c r="AE26" s="304" t="n">
        <x:f>IF('作業計画'!P26="","",'作業計画'!P26)</x:f>
        <x:v>46342</x:v>
      </x:c>
      <x:c r="AF26" s="304" t="str">
        <x:f>IF('作業計画'!Q26="","",'作業計画'!Q26)</x:f>
      </x:c>
      <x:c r="AG26" s="304" t="str">
        <x:f>IF('作業計画'!R26="","",'作業計画'!R26)</x:f>
      </x:c>
      <x:c r="AH26" s="289" t="n">
        <x:f>'作業計画'!S26</x:f>
        <x:v>1</x:v>
      </x:c>
      <x:c r="AI26" s="289" t="n">
        <x:f>'作業計画'!T26</x:f>
        <x:v>0</x:v>
      </x:c>
      <x:c r="AJ26" s="305" t="n">
        <x:f>'作業計画'!U26</x:f>
        <x:v>0</x:v>
      </x:c>
      <x:c r="AK26" s="289" t="str">
        <x:f>'作業計画'!V26</x:f>
        <x:v>予定前</x:v>
      </x:c>
      <x:c r="AL26" s="289" t="str">
        <x:f>'作業計画'!W26</x:f>
        <x:v>20</x:v>
      </x:c>
      <x:c r="AM26" s="289" t="str">
        <x:f>'作業計画'!J26&amp;IF('作業計画'!K26="",""," / "&amp;'作業計画'!K26)&amp;IF('作業計画'!L26="",""," / "&amp;'作業計画'!L26)</x:f>
        <x:v>00006 / 00007 / 00017</x:v>
      </x:c>
      <x:c r="AN26" s="250" t="str">
        <x:f>'作業計画'!Y26</x:f>
        <x:v>出力列・型・設定値・更新頻度・時刻・SLA・例外通知の合意</x:v>
      </x:c>
      <x:c r="AO26" s="250" t="str">
        <x:f>IF('作業計画'!Z26="","",'作業計画'!Z26)</x:f>
      </x:c>
      <x:c r="AP26" s="251" t="str">
        <x:f>'作業計画'!X26</x:f>
        <x:v>原資料展開</x:v>
      </x:c>
    </x:row>
    <x:row r="27" ht="54" customHeight="1">
      <x:c r="A27" s="458" t="str">
        <x:f>'作業計画'!A27</x:f>
        <x:v>00021</x:v>
      </x:c>
      <x:c r="B27" s="322" t="str">
        <x:f>'作業計画'!B27</x:f>
        <x:v>02.要件・設計</x:v>
      </x:c>
      <x:c r="C27" s="253" t="str">
        <x:f>'作業計画'!C27</x:f>
        <x:v>Account：出力仕様・更新条件・SLAの確定</x:v>
      </x:c>
      <x:c r="D27" s="253" t="str">
        <x:f>'作業計画'!D27</x:f>
        <x:v>業務／設計担当（要確定）</x:v>
      </x:c>
      <x:c r="E27" s="253" t="str">
        <x:f>'作業計画'!E27</x:f>
        <x:v>Fabric</x:v>
      </x:c>
      <x:c r="F27" s="291" t="str">
        <x:f>'作業計画'!F27</x:f>
        <x:v>1.高</x:v>
      </x:c>
      <x:c r="G27" s="291" t="str">
        <x:f>'作業計画'!G27</x:f>
        <x:v>00.未確認</x:v>
      </x:c>
      <x:c r="H27" s="306" t="n">
        <x:f>IF('作業計画'!$H27="設計",IF('作業計画'!O27="","",'作業計画'!O27),"")</x:f>
        <x:v>46338</x:v>
      </x:c>
      <x:c r="I27" s="306" t="n">
        <x:f>IF('作業計画'!$H27="設計",IF('作業計画'!P27="","",'作業計画'!P27),"")</x:f>
        <x:v>46342</x:v>
      </x:c>
      <x:c r="J27" s="306" t="str">
        <x:f>IF('作業計画'!$H27="設計",IF('作業計画'!Q27="","",'作業計画'!Q27),"")</x:f>
      </x:c>
      <x:c r="K27" s="306" t="str">
        <x:f>IF('作業計画'!$H27="設計",IF('作業計画'!R27="","",'作業計画'!R27),"")</x:f>
      </x:c>
      <x:c r="L27" s="307" t="n">
        <x:f>IF('作業計画'!$H27="設計",'作業計画'!U27,"")</x:f>
        <x:v>0</x:v>
      </x:c>
      <x:c r="M27" s="291" t="str">
        <x:f>IF('作業計画'!$H27="設計",'作業計画'!V27,"")</x:f>
        <x:v>予定前</x:v>
      </x:c>
      <x:c r="N27" s="306" t="str">
        <x:f>IF('作業計画'!$H27="開発",IF('作業計画'!O27="","",'作業計画'!O27),"")</x:f>
      </x:c>
      <x:c r="O27" s="306" t="str">
        <x:f>IF('作業計画'!$H27="開発",IF('作業計画'!P27="","",'作業計画'!P27),"")</x:f>
      </x:c>
      <x:c r="P27" s="306" t="str">
        <x:f>IF('作業計画'!$H27="開発",IF('作業計画'!Q27="","",'作業計画'!Q27),"")</x:f>
      </x:c>
      <x:c r="Q27" s="306" t="str">
        <x:f>IF('作業計画'!$H27="開発",IF('作業計画'!R27="","",'作業計画'!R27),"")</x:f>
      </x:c>
      <x:c r="R27" s="291" t="str">
        <x:f>IF('作業計画'!$H27="開発",'作業計画'!S27,"")</x:f>
      </x:c>
      <x:c r="S27" s="291" t="str">
        <x:f>IF('作業計画'!$H27="開発",'作業計画'!T27,"")</x:f>
      </x:c>
      <x:c r="T27" s="307" t="str">
        <x:f>IF('作業計画'!$H27="開発",'作業計画'!U27,"")</x:f>
      </x:c>
      <x:c r="U27" s="291" t="str">
        <x:f>IF('作業計画'!$H27="開発",'作業計画'!V27,"")</x:f>
      </x:c>
      <x:c r="V27" s="306" t="str">
        <x:f>IF('作業計画'!$H27="テスト",IF('作業計画'!O27="","",'作業計画'!O27),"")</x:f>
      </x:c>
      <x:c r="W27" s="306" t="str">
        <x:f>IF('作業計画'!$H27="テスト",IF('作業計画'!P27="","",'作業計画'!P27),"")</x:f>
      </x:c>
      <x:c r="X27" s="306" t="str">
        <x:f>IF('作業計画'!$H27="テスト",IF('作業計画'!Q27="","",'作業計画'!Q27),"")</x:f>
      </x:c>
      <x:c r="Y27" s="306" t="str">
        <x:f>IF('作業計画'!$H27="テスト",IF('作業計画'!R27="","",'作業計画'!R27),"")</x:f>
      </x:c>
      <x:c r="Z27" s="291" t="str">
        <x:f>IF('作業計画'!$H27="テスト",'作業計画'!S27,"")</x:f>
      </x:c>
      <x:c r="AA27" s="291" t="str">
        <x:f>IF('作業計画'!$H27="テスト",'作業計画'!T27,"")</x:f>
      </x:c>
      <x:c r="AB27" s="307" t="str">
        <x:f>IF('作業計画'!$H27="テスト",'作業計画'!U27,"")</x:f>
      </x:c>
      <x:c r="AC27" s="291" t="str">
        <x:f>IF('作業計画'!$H27="テスト",'作業計画'!V27,"")</x:f>
      </x:c>
      <x:c r="AD27" s="306" t="n">
        <x:f>IF('作業計画'!O27="","",'作業計画'!O27)</x:f>
        <x:v>46338</x:v>
      </x:c>
      <x:c r="AE27" s="306" t="n">
        <x:f>IF('作業計画'!P27="","",'作業計画'!P27)</x:f>
        <x:v>46342</x:v>
      </x:c>
      <x:c r="AF27" s="306" t="str">
        <x:f>IF('作業計画'!Q27="","",'作業計画'!Q27)</x:f>
      </x:c>
      <x:c r="AG27" s="306" t="str">
        <x:f>IF('作業計画'!R27="","",'作業計画'!R27)</x:f>
      </x:c>
      <x:c r="AH27" s="291" t="n">
        <x:f>'作業計画'!S27</x:f>
        <x:v>1</x:v>
      </x:c>
      <x:c r="AI27" s="291" t="n">
        <x:f>'作業計画'!T27</x:f>
        <x:v>0</x:v>
      </x:c>
      <x:c r="AJ27" s="307" t="n">
        <x:f>'作業計画'!U27</x:f>
        <x:v>0</x:v>
      </x:c>
      <x:c r="AK27" s="291" t="str">
        <x:f>'作業計画'!V27</x:f>
        <x:v>予定前</x:v>
      </x:c>
      <x:c r="AL27" s="291" t="str">
        <x:f>'作業計画'!W27</x:f>
        <x:v>21</x:v>
      </x:c>
      <x:c r="AM27" s="291" t="str">
        <x:f>'作業計画'!J27&amp;IF('作業計画'!K27="",""," / "&amp;'作業計画'!K27)&amp;IF('作業計画'!L27="",""," / "&amp;'作業計画'!L27)</x:f>
        <x:v>00006 / 00007 / 00017</x:v>
      </x:c>
      <x:c r="AN27" s="253" t="str">
        <x:f>'作業計画'!Y27</x:f>
        <x:v>出力列・型・設定値・更新頻度・時刻・SLA・例外通知の合意</x:v>
      </x:c>
      <x:c r="AO27" s="253" t="str">
        <x:f>IF('作業計画'!Z27="","",'作業計画'!Z27)</x:f>
      </x:c>
      <x:c r="AP27" s="254" t="str">
        <x:f>'作業計画'!X27</x:f>
        <x:v>原資料展開</x:v>
      </x:c>
    </x:row>
    <x:row r="28" ht="54" customHeight="1">
      <x:c r="A28" s="457" t="str">
        <x:f>'作業計画'!A28</x:f>
        <x:v>00022</x:v>
      </x:c>
      <x:c r="B28" s="322" t="str">
        <x:f>'作業計画'!B28</x:f>
        <x:v>02.要件・設計</x:v>
      </x:c>
      <x:c r="C28" s="250" t="str">
        <x:f>'作業計画'!C28</x:f>
        <x:v>AccountContact：出力仕様・更新条件・SLAの確定</x:v>
      </x:c>
      <x:c r="D28" s="250" t="str">
        <x:f>'作業計画'!D28</x:f>
        <x:v>業務／設計担当（要確定）</x:v>
      </x:c>
      <x:c r="E28" s="250" t="str">
        <x:f>'作業計画'!E28</x:f>
        <x:v>Fabric</x:v>
      </x:c>
      <x:c r="F28" s="289" t="str">
        <x:f>'作業計画'!F28</x:f>
        <x:v>1.高</x:v>
      </x:c>
      <x:c r="G28" s="289" t="str">
        <x:f>'作業計画'!G28</x:f>
        <x:v>00.未確認</x:v>
      </x:c>
      <x:c r="H28" s="304" t="n">
        <x:f>IF('作業計画'!$H28="設計",IF('作業計画'!O28="","",'作業計画'!O28),"")</x:f>
        <x:v>46338</x:v>
      </x:c>
      <x:c r="I28" s="304" t="n">
        <x:f>IF('作業計画'!$H28="設計",IF('作業計画'!P28="","",'作業計画'!P28),"")</x:f>
        <x:v>46342</x:v>
      </x:c>
      <x:c r="J28" s="304" t="str">
        <x:f>IF('作業計画'!$H28="設計",IF('作業計画'!Q28="","",'作業計画'!Q28),"")</x:f>
      </x:c>
      <x:c r="K28" s="304" t="str">
        <x:f>IF('作業計画'!$H28="設計",IF('作業計画'!R28="","",'作業計画'!R28),"")</x:f>
      </x:c>
      <x:c r="L28" s="305" t="n">
        <x:f>IF('作業計画'!$H28="設計",'作業計画'!U28,"")</x:f>
        <x:v>0</x:v>
      </x:c>
      <x:c r="M28" s="289" t="str">
        <x:f>IF('作業計画'!$H28="設計",'作業計画'!V28,"")</x:f>
        <x:v>予定前</x:v>
      </x:c>
      <x:c r="N28" s="304" t="str">
        <x:f>IF('作業計画'!$H28="開発",IF('作業計画'!O28="","",'作業計画'!O28),"")</x:f>
      </x:c>
      <x:c r="O28" s="304" t="str">
        <x:f>IF('作業計画'!$H28="開発",IF('作業計画'!P28="","",'作業計画'!P28),"")</x:f>
      </x:c>
      <x:c r="P28" s="304" t="str">
        <x:f>IF('作業計画'!$H28="開発",IF('作業計画'!Q28="","",'作業計画'!Q28),"")</x:f>
      </x:c>
      <x:c r="Q28" s="304" t="str">
        <x:f>IF('作業計画'!$H28="開発",IF('作業計画'!R28="","",'作業計画'!R28),"")</x:f>
      </x:c>
      <x:c r="R28" s="289" t="str">
        <x:f>IF('作業計画'!$H28="開発",'作業計画'!S28,"")</x:f>
      </x:c>
      <x:c r="S28" s="289" t="str">
        <x:f>IF('作業計画'!$H28="開発",'作業計画'!T28,"")</x:f>
      </x:c>
      <x:c r="T28" s="305" t="str">
        <x:f>IF('作業計画'!$H28="開発",'作業計画'!U28,"")</x:f>
      </x:c>
      <x:c r="U28" s="289" t="str">
        <x:f>IF('作業計画'!$H28="開発",'作業計画'!V28,"")</x:f>
      </x:c>
      <x:c r="V28" s="304" t="str">
        <x:f>IF('作業計画'!$H28="テスト",IF('作業計画'!O28="","",'作業計画'!O28),"")</x:f>
      </x:c>
      <x:c r="W28" s="304" t="str">
        <x:f>IF('作業計画'!$H28="テスト",IF('作業計画'!P28="","",'作業計画'!P28),"")</x:f>
      </x:c>
      <x:c r="X28" s="304" t="str">
        <x:f>IF('作業計画'!$H28="テスト",IF('作業計画'!Q28="","",'作業計画'!Q28),"")</x:f>
      </x:c>
      <x:c r="Y28" s="304" t="str">
        <x:f>IF('作業計画'!$H28="テスト",IF('作業計画'!R28="","",'作業計画'!R28),"")</x:f>
      </x:c>
      <x:c r="Z28" s="289" t="str">
        <x:f>IF('作業計画'!$H28="テスト",'作業計画'!S28,"")</x:f>
      </x:c>
      <x:c r="AA28" s="289" t="str">
        <x:f>IF('作業計画'!$H28="テスト",'作業計画'!T28,"")</x:f>
      </x:c>
      <x:c r="AB28" s="305" t="str">
        <x:f>IF('作業計画'!$H28="テスト",'作業計画'!U28,"")</x:f>
      </x:c>
      <x:c r="AC28" s="289" t="str">
        <x:f>IF('作業計画'!$H28="テスト",'作業計画'!V28,"")</x:f>
      </x:c>
      <x:c r="AD28" s="304" t="n">
        <x:f>IF('作業計画'!O28="","",'作業計画'!O28)</x:f>
        <x:v>46338</x:v>
      </x:c>
      <x:c r="AE28" s="304" t="n">
        <x:f>IF('作業計画'!P28="","",'作業計画'!P28)</x:f>
        <x:v>46342</x:v>
      </x:c>
      <x:c r="AF28" s="304" t="str">
        <x:f>IF('作業計画'!Q28="","",'作業計画'!Q28)</x:f>
      </x:c>
      <x:c r="AG28" s="304" t="str">
        <x:f>IF('作業計画'!R28="","",'作業計画'!R28)</x:f>
      </x:c>
      <x:c r="AH28" s="289" t="n">
        <x:f>'作業計画'!S28</x:f>
        <x:v>1</x:v>
      </x:c>
      <x:c r="AI28" s="289" t="n">
        <x:f>'作業計画'!T28</x:f>
        <x:v>0</x:v>
      </x:c>
      <x:c r="AJ28" s="305" t="n">
        <x:f>'作業計画'!U28</x:f>
        <x:v>0</x:v>
      </x:c>
      <x:c r="AK28" s="289" t="str">
        <x:f>'作業計画'!V28</x:f>
        <x:v>予定前</x:v>
      </x:c>
      <x:c r="AL28" s="289" t="str">
        <x:f>'作業計画'!W28</x:f>
        <x:v>22</x:v>
      </x:c>
      <x:c r="AM28" s="289" t="str">
        <x:f>'作業計画'!J28&amp;IF('作業計画'!K28="",""," / "&amp;'作業計画'!K28)&amp;IF('作業計画'!L28="",""," / "&amp;'作業計画'!L28)</x:f>
        <x:v>00006 / 00007 / 00017</x:v>
      </x:c>
      <x:c r="AN28" s="250" t="str">
        <x:f>'作業計画'!Y28</x:f>
        <x:v>出力列・型・設定値・更新頻度・時刻・SLA・例外通知の合意</x:v>
      </x:c>
      <x:c r="AO28" s="250" t="str">
        <x:f>IF('作業計画'!Z28="","",'作業計画'!Z28)</x:f>
      </x:c>
      <x:c r="AP28" s="251" t="str">
        <x:f>'作業計画'!X28</x:f>
        <x:v>原資料展開</x:v>
      </x:c>
    </x:row>
    <x:row r="29" ht="54" customHeight="1">
      <x:c r="A29" s="458" t="str">
        <x:f>'作業計画'!A29</x:f>
        <x:v>00023</x:v>
      </x:c>
      <x:c r="B29" s="322" t="str">
        <x:f>'作業計画'!B29</x:f>
        <x:v>02.要件・設計</x:v>
      </x:c>
      <x:c r="C29" s="253" t="str">
        <x:f>'作業計画'!C29</x:f>
        <x:v>SalesRepHospital：出力仕様・更新条件・SLAの確定</x:v>
      </x:c>
      <x:c r="D29" s="253" t="str">
        <x:f>'作業計画'!D29</x:f>
        <x:v>業務／設計担当（要確定）</x:v>
      </x:c>
      <x:c r="E29" s="253" t="str">
        <x:f>'作業計画'!E29</x:f>
        <x:v>Fabric</x:v>
      </x:c>
      <x:c r="F29" s="291" t="str">
        <x:f>'作業計画'!F29</x:f>
        <x:v>1.高</x:v>
      </x:c>
      <x:c r="G29" s="291" t="str">
        <x:f>'作業計画'!G29</x:f>
        <x:v>00.未確認</x:v>
      </x:c>
      <x:c r="H29" s="306" t="n">
        <x:f>IF('作業計画'!$H29="設計",IF('作業計画'!O29="","",'作業計画'!O29),"")</x:f>
        <x:v>46338</x:v>
      </x:c>
      <x:c r="I29" s="306" t="n">
        <x:f>IF('作業計画'!$H29="設計",IF('作業計画'!P29="","",'作業計画'!P29),"")</x:f>
        <x:v>46342</x:v>
      </x:c>
      <x:c r="J29" s="306" t="str">
        <x:f>IF('作業計画'!$H29="設計",IF('作業計画'!Q29="","",'作業計画'!Q29),"")</x:f>
      </x:c>
      <x:c r="K29" s="306" t="str">
        <x:f>IF('作業計画'!$H29="設計",IF('作業計画'!R29="","",'作業計画'!R29),"")</x:f>
      </x:c>
      <x:c r="L29" s="307" t="n">
        <x:f>IF('作業計画'!$H29="設計",'作業計画'!U29,"")</x:f>
        <x:v>0</x:v>
      </x:c>
      <x:c r="M29" s="291" t="str">
        <x:f>IF('作業計画'!$H29="設計",'作業計画'!V29,"")</x:f>
        <x:v>予定前</x:v>
      </x:c>
      <x:c r="N29" s="306" t="str">
        <x:f>IF('作業計画'!$H29="開発",IF('作業計画'!O29="","",'作業計画'!O29),"")</x:f>
      </x:c>
      <x:c r="O29" s="306" t="str">
        <x:f>IF('作業計画'!$H29="開発",IF('作業計画'!P29="","",'作業計画'!P29),"")</x:f>
      </x:c>
      <x:c r="P29" s="306" t="str">
        <x:f>IF('作業計画'!$H29="開発",IF('作業計画'!Q29="","",'作業計画'!Q29),"")</x:f>
      </x:c>
      <x:c r="Q29" s="306" t="str">
        <x:f>IF('作業計画'!$H29="開発",IF('作業計画'!R29="","",'作業計画'!R29),"")</x:f>
      </x:c>
      <x:c r="R29" s="291" t="str">
        <x:f>IF('作業計画'!$H29="開発",'作業計画'!S29,"")</x:f>
      </x:c>
      <x:c r="S29" s="291" t="str">
        <x:f>IF('作業計画'!$H29="開発",'作業計画'!T29,"")</x:f>
      </x:c>
      <x:c r="T29" s="307" t="str">
        <x:f>IF('作業計画'!$H29="開発",'作業計画'!U29,"")</x:f>
      </x:c>
      <x:c r="U29" s="291" t="str">
        <x:f>IF('作業計画'!$H29="開発",'作業計画'!V29,"")</x:f>
      </x:c>
      <x:c r="V29" s="306" t="str">
        <x:f>IF('作業計画'!$H29="テスト",IF('作業計画'!O29="","",'作業計画'!O29),"")</x:f>
      </x:c>
      <x:c r="W29" s="306" t="str">
        <x:f>IF('作業計画'!$H29="テスト",IF('作業計画'!P29="","",'作業計画'!P29),"")</x:f>
      </x:c>
      <x:c r="X29" s="306" t="str">
        <x:f>IF('作業計画'!$H29="テスト",IF('作業計画'!Q29="","",'作業計画'!Q29),"")</x:f>
      </x:c>
      <x:c r="Y29" s="306" t="str">
        <x:f>IF('作業計画'!$H29="テスト",IF('作業計画'!R29="","",'作業計画'!R29),"")</x:f>
      </x:c>
      <x:c r="Z29" s="291" t="str">
        <x:f>IF('作業計画'!$H29="テスト",'作業計画'!S29,"")</x:f>
      </x:c>
      <x:c r="AA29" s="291" t="str">
        <x:f>IF('作業計画'!$H29="テスト",'作業計画'!T29,"")</x:f>
      </x:c>
      <x:c r="AB29" s="307" t="str">
        <x:f>IF('作業計画'!$H29="テスト",'作業計画'!U29,"")</x:f>
      </x:c>
      <x:c r="AC29" s="291" t="str">
        <x:f>IF('作業計画'!$H29="テスト",'作業計画'!V29,"")</x:f>
      </x:c>
      <x:c r="AD29" s="306" t="n">
        <x:f>IF('作業計画'!O29="","",'作業計画'!O29)</x:f>
        <x:v>46338</x:v>
      </x:c>
      <x:c r="AE29" s="306" t="n">
        <x:f>IF('作業計画'!P29="","",'作業計画'!P29)</x:f>
        <x:v>46342</x:v>
      </x:c>
      <x:c r="AF29" s="306" t="str">
        <x:f>IF('作業計画'!Q29="","",'作業計画'!Q29)</x:f>
      </x:c>
      <x:c r="AG29" s="306" t="str">
        <x:f>IF('作業計画'!R29="","",'作業計画'!R29)</x:f>
      </x:c>
      <x:c r="AH29" s="291" t="n">
        <x:f>'作業計画'!S29</x:f>
        <x:v>1</x:v>
      </x:c>
      <x:c r="AI29" s="291" t="n">
        <x:f>'作業計画'!T29</x:f>
        <x:v>0</x:v>
      </x:c>
      <x:c r="AJ29" s="307" t="n">
        <x:f>'作業計画'!U29</x:f>
        <x:v>0</x:v>
      </x:c>
      <x:c r="AK29" s="291" t="str">
        <x:f>'作業計画'!V29</x:f>
        <x:v>予定前</x:v>
      </x:c>
      <x:c r="AL29" s="291" t="str">
        <x:f>'作業計画'!W29</x:f>
        <x:v>23</x:v>
      </x:c>
      <x:c r="AM29" s="291" t="str">
        <x:f>'作業計画'!J29&amp;IF('作業計画'!K29="",""," / "&amp;'作業計画'!K29)&amp;IF('作業計画'!L29="",""," / "&amp;'作業計画'!L29)</x:f>
        <x:v>00006 / 00007 / 00017</x:v>
      </x:c>
      <x:c r="AN29" s="253" t="str">
        <x:f>'作業計画'!Y29</x:f>
        <x:v>出力列・型・設定値・更新頻度・時刻・SLA・例外通知の合意</x:v>
      </x:c>
      <x:c r="AO29" s="253" t="str">
        <x:f>IF('作業計画'!Z29="","",'作業計画'!Z29)</x:f>
      </x:c>
      <x:c r="AP29" s="254" t="str">
        <x:f>'作業計画'!X29</x:f>
        <x:v>原資料展開</x:v>
      </x:c>
    </x:row>
    <x:row r="30" ht="54" customHeight="1">
      <x:c r="A30" s="457" t="str">
        <x:f>'作業計画'!A30</x:f>
        <x:v>00024</x:v>
      </x:c>
      <x:c r="B30" s="324" t="str">
        <x:f>'作業計画'!B30</x:f>
        <x:v>03.事前検証</x:v>
      </x:c>
      <x:c r="C30" s="250" t="str">
        <x:f>'作業計画'!C30</x:f>
        <x:v>DEVワークスペース作成・検証権限付与</x:v>
      </x:c>
      <x:c r="D30" s="250" t="str">
        <x:f>'作業計画'!D30</x:f>
        <x:v>基盤担当（要確定）</x:v>
      </x:c>
      <x:c r="E30" s="250" t="str">
        <x:f>'作業計画'!E30</x:f>
        <x:v>Fabric</x:v>
      </x:c>
      <x:c r="F30" s="289" t="str">
        <x:f>'作業計画'!F30</x:f>
        <x:v>1.高</x:v>
      </x:c>
      <x:c r="G30" s="289" t="str">
        <x:f>'作業計画'!G30</x:f>
        <x:v>00.未確認</x:v>
      </x:c>
      <x:c r="H30" s="304" t="str">
        <x:f>IF('作業計画'!$H30="設計",IF('作業計画'!O30="","",'作業計画'!O30),"")</x:f>
      </x:c>
      <x:c r="I30" s="304" t="str">
        <x:f>IF('作業計画'!$H30="設計",IF('作業計画'!P30="","",'作業計画'!P30),"")</x:f>
      </x:c>
      <x:c r="J30" s="304" t="str">
        <x:f>IF('作業計画'!$H30="設計",IF('作業計画'!Q30="","",'作業計画'!Q30),"")</x:f>
      </x:c>
      <x:c r="K30" s="304" t="str">
        <x:f>IF('作業計画'!$H30="設計",IF('作業計画'!R30="","",'作業計画'!R30),"")</x:f>
      </x:c>
      <x:c r="L30" s="305" t="str">
        <x:f>IF('作業計画'!$H30="設計",'作業計画'!U30,"")</x:f>
      </x:c>
      <x:c r="M30" s="289" t="str">
        <x:f>IF('作業計画'!$H30="設計",'作業計画'!V30,"")</x:f>
      </x:c>
      <x:c r="N30" s="304" t="n">
        <x:f>IF('作業計画'!$H30="開発",IF('作業計画'!O30="","",'作業計画'!O30),"")</x:f>
        <x:v>46338</x:v>
      </x:c>
      <x:c r="O30" s="304" t="n">
        <x:f>IF('作業計画'!$H30="開発",IF('作業計画'!P30="","",'作業計画'!P30),"")</x:f>
        <x:v>46339</x:v>
      </x:c>
      <x:c r="P30" s="304" t="str">
        <x:f>IF('作業計画'!$H30="開発",IF('作業計画'!Q30="","",'作業計画'!Q30),"")</x:f>
      </x:c>
      <x:c r="Q30" s="304" t="str">
        <x:f>IF('作業計画'!$H30="開発",IF('作業計画'!R30="","",'作業計画'!R30),"")</x:f>
      </x:c>
      <x:c r="R30" s="289" t="n">
        <x:f>IF('作業計画'!$H30="開発",'作業計画'!S30,"")</x:f>
        <x:v>1</x:v>
      </x:c>
      <x:c r="S30" s="289" t="n">
        <x:f>IF('作業計画'!$H30="開発",'作業計画'!T30,"")</x:f>
        <x:v>0</x:v>
      </x:c>
      <x:c r="T30" s="305" t="n">
        <x:f>IF('作業計画'!$H30="開発",'作業計画'!U30,"")</x:f>
        <x:v>0</x:v>
      </x:c>
      <x:c r="U30" s="289" t="str">
        <x:f>IF('作業計画'!$H30="開発",'作業計画'!V30,"")</x:f>
        <x:v>予定前</x:v>
      </x:c>
      <x:c r="V30" s="304" t="str">
        <x:f>IF('作業計画'!$H30="テスト",IF('作業計画'!O30="","",'作業計画'!O30),"")</x:f>
      </x:c>
      <x:c r="W30" s="304" t="str">
        <x:f>IF('作業計画'!$H30="テスト",IF('作業計画'!P30="","",'作業計画'!P30),"")</x:f>
      </x:c>
      <x:c r="X30" s="304" t="str">
        <x:f>IF('作業計画'!$H30="テスト",IF('作業計画'!Q30="","",'作業計画'!Q30),"")</x:f>
      </x:c>
      <x:c r="Y30" s="304" t="str">
        <x:f>IF('作業計画'!$H30="テスト",IF('作業計画'!R30="","",'作業計画'!R30),"")</x:f>
      </x:c>
      <x:c r="Z30" s="289" t="str">
        <x:f>IF('作業計画'!$H30="テスト",'作業計画'!S30,"")</x:f>
      </x:c>
      <x:c r="AA30" s="289" t="str">
        <x:f>IF('作業計画'!$H30="テスト",'作業計画'!T30,"")</x:f>
      </x:c>
      <x:c r="AB30" s="305" t="str">
        <x:f>IF('作業計画'!$H30="テスト",'作業計画'!U30,"")</x:f>
      </x:c>
      <x:c r="AC30" s="289" t="str">
        <x:f>IF('作業計画'!$H30="テスト",'作業計画'!V30,"")</x:f>
      </x:c>
      <x:c r="AD30" s="304" t="n">
        <x:f>IF('作業計画'!O30="","",'作業計画'!O30)</x:f>
        <x:v>46338</x:v>
      </x:c>
      <x:c r="AE30" s="304" t="n">
        <x:f>IF('作業計画'!P30="","",'作業計画'!P30)</x:f>
        <x:v>46339</x:v>
      </x:c>
      <x:c r="AF30" s="304" t="str">
        <x:f>IF('作業計画'!Q30="","",'作業計画'!Q30)</x:f>
      </x:c>
      <x:c r="AG30" s="304" t="str">
        <x:f>IF('作業計画'!R30="","",'作業計画'!R30)</x:f>
      </x:c>
      <x:c r="AH30" s="289" t="n">
        <x:f>'作業計画'!S30</x:f>
        <x:v>1</x:v>
      </x:c>
      <x:c r="AI30" s="289" t="n">
        <x:f>'作業計画'!T30</x:f>
        <x:v>0</x:v>
      </x:c>
      <x:c r="AJ30" s="305" t="n">
        <x:f>'作業計画'!U30</x:f>
        <x:v>0</x:v>
      </x:c>
      <x:c r="AK30" s="289" t="str">
        <x:f>'作業計画'!V30</x:f>
        <x:v>予定前</x:v>
      </x:c>
      <x:c r="AL30" s="289" t="str">
        <x:f>'作業計画'!W30</x:f>
        <x:v>30</x:v>
      </x:c>
      <x:c r="AM30" s="289" t="str">
        <x:f>'作業計画'!J30&amp;IF('作業計画'!K30="",""," / "&amp;'作業計画'!K30)&amp;IF('作業計画'!L30="",""," / "&amp;'作業計画'!L30)</x:f>
        <x:v>00015 / 00018</x:v>
      </x:c>
      <x:c r="AN30" s="250" t="str">
        <x:f>'作業計画'!Y30</x:f>
        <x:v>DEV環境・Lakehouseアクセス・検証実行権限</x:v>
      </x:c>
      <x:c r="AO30" s="250" t="str">
        <x:f>IF('作業計画'!Z30="","",'作業計画'!Z30)</x:f>
        <x:v>DEV分を先行実施。QA／PRODは後続タスク。</x:v>
      </x:c>
      <x:c r="AP30" s="251" t="str">
        <x:f>'作業計画'!X30</x:f>
        <x:v>原資料展開</x:v>
      </x:c>
    </x:row>
    <x:row r="31" ht="54" customHeight="1">
      <x:c r="A31" s="458" t="str">
        <x:f>'作業計画'!A31</x:f>
        <x:v>00025</x:v>
      </x:c>
      <x:c r="B31" s="324" t="str">
        <x:f>'作業計画'!B31</x:f>
        <x:v>03.事前検証</x:v>
      </x:c>
      <x:c r="C31" s="253" t="str">
        <x:f>'作業計画'!C31</x:f>
        <x:v>OneForceの既存Silverデータ・必要列を確認</x:v>
      </x:c>
      <x:c r="D31" s="253" t="str">
        <x:f>'作業計画'!D31</x:f>
        <x:v>データソース担当（要確定）</x:v>
      </x:c>
      <x:c r="E31" s="253" t="str">
        <x:f>'作業計画'!E31</x:f>
        <x:v>OneForce／SilverLakehouse</x:v>
      </x:c>
      <x:c r="F31" s="291" t="str">
        <x:f>'作業計画'!F31</x:f>
        <x:v>2.中</x:v>
      </x:c>
      <x:c r="G31" s="291" t="str">
        <x:f>'作業計画'!G31</x:f>
        <x:v>00.未確認</x:v>
      </x:c>
      <x:c r="H31" s="306" t="str">
        <x:f>IF('作業計画'!$H31="設計",IF('作業計画'!O31="","",'作業計画'!O31),"")</x:f>
      </x:c>
      <x:c r="I31" s="306" t="str">
        <x:f>IF('作業計画'!$H31="設計",IF('作業計画'!P31="","",'作業計画'!P31),"")</x:f>
      </x:c>
      <x:c r="J31" s="306" t="str">
        <x:f>IF('作業計画'!$H31="設計",IF('作業計画'!Q31="","",'作業計画'!Q31),"")</x:f>
      </x:c>
      <x:c r="K31" s="306" t="str">
        <x:f>IF('作業計画'!$H31="設計",IF('作業計画'!R31="","",'作業計画'!R31),"")</x:f>
      </x:c>
      <x:c r="L31" s="307" t="str">
        <x:f>IF('作業計画'!$H31="設計",'作業計画'!U31,"")</x:f>
      </x:c>
      <x:c r="M31" s="291" t="str">
        <x:f>IF('作業計画'!$H31="設計",'作業計画'!V31,"")</x:f>
      </x:c>
      <x:c r="N31" s="306" t="n">
        <x:f>IF('作業計画'!$H31="開発",IF('作業計画'!O31="","",'作業計画'!O31),"")</x:f>
        <x:v>46342</x:v>
      </x:c>
      <x:c r="O31" s="306" t="n">
        <x:f>IF('作業計画'!$H31="開発",IF('作業計画'!P31="","",'作業計画'!P31),"")</x:f>
        <x:v>46343</x:v>
      </x:c>
      <x:c r="P31" s="306" t="str">
        <x:f>IF('作業計画'!$H31="開発",IF('作業計画'!Q31="","",'作業計画'!Q31),"")</x:f>
      </x:c>
      <x:c r="Q31" s="306" t="str">
        <x:f>IF('作業計画'!$H31="開発",IF('作業計画'!R31="","",'作業計画'!R31),"")</x:f>
      </x:c>
      <x:c r="R31" s="291" t="n">
        <x:f>IF('作業計画'!$H31="開発",'作業計画'!S31,"")</x:f>
        <x:v>1</x:v>
      </x:c>
      <x:c r="S31" s="291" t="n">
        <x:f>IF('作業計画'!$H31="開発",'作業計画'!T31,"")</x:f>
        <x:v>0</x:v>
      </x:c>
      <x:c r="T31" s="307" t="n">
        <x:f>IF('作業計画'!$H31="開発",'作業計画'!U31,"")</x:f>
        <x:v>0</x:v>
      </x:c>
      <x:c r="U31" s="291" t="str">
        <x:f>IF('作業計画'!$H31="開発",'作業計画'!V31,"")</x:f>
        <x:v>予定前</x:v>
      </x:c>
      <x:c r="V31" s="306" t="str">
        <x:f>IF('作業計画'!$H31="テスト",IF('作業計画'!O31="","",'作業計画'!O31),"")</x:f>
      </x:c>
      <x:c r="W31" s="306" t="str">
        <x:f>IF('作業計画'!$H31="テスト",IF('作業計画'!P31="","",'作業計画'!P31),"")</x:f>
      </x:c>
      <x:c r="X31" s="306" t="str">
        <x:f>IF('作業計画'!$H31="テスト",IF('作業計画'!Q31="","",'作業計画'!Q31),"")</x:f>
      </x:c>
      <x:c r="Y31" s="306" t="str">
        <x:f>IF('作業計画'!$H31="テスト",IF('作業計画'!R31="","",'作業計画'!R31),"")</x:f>
      </x:c>
      <x:c r="Z31" s="291" t="str">
        <x:f>IF('作業計画'!$H31="テスト",'作業計画'!S31,"")</x:f>
      </x:c>
      <x:c r="AA31" s="291" t="str">
        <x:f>IF('作業計画'!$H31="テスト",'作業計画'!T31,"")</x:f>
      </x:c>
      <x:c r="AB31" s="307" t="str">
        <x:f>IF('作業計画'!$H31="テスト",'作業計画'!U31,"")</x:f>
      </x:c>
      <x:c r="AC31" s="291" t="str">
        <x:f>IF('作業計画'!$H31="テスト",'作業計画'!V31,"")</x:f>
      </x:c>
      <x:c r="AD31" s="306" t="n">
        <x:f>IF('作業計画'!O31="","",'作業計画'!O31)</x:f>
        <x:v>46342</x:v>
      </x:c>
      <x:c r="AE31" s="306" t="n">
        <x:f>IF('作業計画'!P31="","",'作業計画'!P31)</x:f>
        <x:v>46343</x:v>
      </x:c>
      <x:c r="AF31" s="306" t="str">
        <x:f>IF('作業計画'!Q31="","",'作業計画'!Q31)</x:f>
      </x:c>
      <x:c r="AG31" s="306" t="str">
        <x:f>IF('作業計画'!R31="","",'作業計画'!R31)</x:f>
      </x:c>
      <x:c r="AH31" s="291" t="n">
        <x:f>'作業計画'!S31</x:f>
        <x:v>1</x:v>
      </x:c>
      <x:c r="AI31" s="291" t="n">
        <x:f>'作業計画'!T31</x:f>
        <x:v>0</x:v>
      </x:c>
      <x:c r="AJ31" s="307" t="n">
        <x:f>'作業計画'!U31</x:f>
        <x:v>0</x:v>
      </x:c>
      <x:c r="AK31" s="291" t="str">
        <x:f>'作業計画'!V31</x:f>
        <x:v>予定前</x:v>
      </x:c>
      <x:c r="AL31" s="291" t="str">
        <x:f>'作業計画'!W31</x:f>
        <x:v>31</x:v>
      </x:c>
      <x:c r="AM31" s="291" t="str">
        <x:f>'作業計画'!J31&amp;IF('作業計画'!K31="",""," / "&amp;'作業計画'!K31)&amp;IF('作業計画'!L31="",""," / "&amp;'作業計画'!L31)</x:f>
        <x:v>00024 / 00002</x:v>
      </x:c>
      <x:c r="AN31" s="253" t="str">
        <x:f>'作業計画'!Y31</x:f>
        <x:v>テーブル存在・不足列・補完方法の確認結果</x:v>
      </x:c>
      <x:c r="AO31" s="253" t="str">
        <x:f>IF('作業計画'!Z31="","",'作業計画'!Z31)</x:f>
      </x:c>
      <x:c r="AP31" s="254" t="str">
        <x:f>'作業計画'!X31</x:f>
        <x:v>原資料展開</x:v>
      </x:c>
    </x:row>
    <x:row r="32" ht="54" customHeight="1">
      <x:c r="A32" s="457" t="str">
        <x:f>'作業計画'!A32</x:f>
        <x:v>00026</x:v>
      </x:c>
      <x:c r="B32" s="324" t="str">
        <x:f>'作業計画'!B32</x:f>
        <x:v>03.事前検証</x:v>
      </x:c>
      <x:c r="C32" s="250" t="str">
        <x:f>'作業計画'!C32</x:f>
        <x:v>RedshiftのFabric参照・接続確認</x:v>
      </x:c>
      <x:c r="D32" s="250" t="str">
        <x:f>'作業計画'!D32</x:f>
        <x:v>データソース担当（要確定）</x:v>
      </x:c>
      <x:c r="E32" s="250" t="str">
        <x:f>'作業計画'!E32</x:f>
        <x:v>Redshift／Fabric</x:v>
      </x:c>
      <x:c r="F32" s="289" t="str">
        <x:f>'作業計画'!F32</x:f>
        <x:v>2.中</x:v>
      </x:c>
      <x:c r="G32" s="289" t="str">
        <x:f>'作業計画'!G32</x:f>
        <x:v>00.未確認</x:v>
      </x:c>
      <x:c r="H32" s="304" t="str">
        <x:f>IF('作業計画'!$H32="設計",IF('作業計画'!O32="","",'作業計画'!O32),"")</x:f>
      </x:c>
      <x:c r="I32" s="304" t="str">
        <x:f>IF('作業計画'!$H32="設計",IF('作業計画'!P32="","",'作業計画'!P32),"")</x:f>
      </x:c>
      <x:c r="J32" s="304" t="str">
        <x:f>IF('作業計画'!$H32="設計",IF('作業計画'!Q32="","",'作業計画'!Q32),"")</x:f>
      </x:c>
      <x:c r="K32" s="304" t="str">
        <x:f>IF('作業計画'!$H32="設計",IF('作業計画'!R32="","",'作業計画'!R32),"")</x:f>
      </x:c>
      <x:c r="L32" s="305" t="str">
        <x:f>IF('作業計画'!$H32="設計",'作業計画'!U32,"")</x:f>
      </x:c>
      <x:c r="M32" s="289" t="str">
        <x:f>IF('作業計画'!$H32="設計",'作業計画'!V32,"")</x:f>
      </x:c>
      <x:c r="N32" s="304" t="n">
        <x:f>IF('作業計画'!$H32="開発",IF('作業計画'!O32="","",'作業計画'!O32),"")</x:f>
        <x:v>46342</x:v>
      </x:c>
      <x:c r="O32" s="304" t="n">
        <x:f>IF('作業計画'!$H32="開発",IF('作業計画'!P32="","",'作業計画'!P32),"")</x:f>
        <x:v>46343</x:v>
      </x:c>
      <x:c r="P32" s="304" t="str">
        <x:f>IF('作業計画'!$H32="開発",IF('作業計画'!Q32="","",'作業計画'!Q32),"")</x:f>
      </x:c>
      <x:c r="Q32" s="304" t="str">
        <x:f>IF('作業計画'!$H32="開発",IF('作業計画'!R32="","",'作業計画'!R32),"")</x:f>
      </x:c>
      <x:c r="R32" s="289" t="n">
        <x:f>IF('作業計画'!$H32="開発",'作業計画'!S32,"")</x:f>
        <x:v>1</x:v>
      </x:c>
      <x:c r="S32" s="289" t="n">
        <x:f>IF('作業計画'!$H32="開発",'作業計画'!T32,"")</x:f>
        <x:v>0</x:v>
      </x:c>
      <x:c r="T32" s="305" t="n">
        <x:f>IF('作業計画'!$H32="開発",'作業計画'!U32,"")</x:f>
        <x:v>0</x:v>
      </x:c>
      <x:c r="U32" s="289" t="str">
        <x:f>IF('作業計画'!$H32="開発",'作業計画'!V32,"")</x:f>
        <x:v>予定前</x:v>
      </x:c>
      <x:c r="V32" s="304" t="str">
        <x:f>IF('作業計画'!$H32="テスト",IF('作業計画'!O32="","",'作業計画'!O32),"")</x:f>
      </x:c>
      <x:c r="W32" s="304" t="str">
        <x:f>IF('作業計画'!$H32="テスト",IF('作業計画'!P32="","",'作業計画'!P32),"")</x:f>
      </x:c>
      <x:c r="X32" s="304" t="str">
        <x:f>IF('作業計画'!$H32="テスト",IF('作業計画'!Q32="","",'作業計画'!Q32),"")</x:f>
      </x:c>
      <x:c r="Y32" s="304" t="str">
        <x:f>IF('作業計画'!$H32="テスト",IF('作業計画'!R32="","",'作業計画'!R32),"")</x:f>
      </x:c>
      <x:c r="Z32" s="289" t="str">
        <x:f>IF('作業計画'!$H32="テスト",'作業計画'!S32,"")</x:f>
      </x:c>
      <x:c r="AA32" s="289" t="str">
        <x:f>IF('作業計画'!$H32="テスト",'作業計画'!T32,"")</x:f>
      </x:c>
      <x:c r="AB32" s="305" t="str">
        <x:f>IF('作業計画'!$H32="テスト",'作業計画'!U32,"")</x:f>
      </x:c>
      <x:c r="AC32" s="289" t="str">
        <x:f>IF('作業計画'!$H32="テスト",'作業計画'!V32,"")</x:f>
      </x:c>
      <x:c r="AD32" s="304" t="n">
        <x:f>IF('作業計画'!O32="","",'作業計画'!O32)</x:f>
        <x:v>46342</x:v>
      </x:c>
      <x:c r="AE32" s="304" t="n">
        <x:f>IF('作業計画'!P32="","",'作業計画'!P32)</x:f>
        <x:v>46343</x:v>
      </x:c>
      <x:c r="AF32" s="304" t="str">
        <x:f>IF('作業計画'!Q32="","",'作業計画'!Q32)</x:f>
      </x:c>
      <x:c r="AG32" s="304" t="str">
        <x:f>IF('作業計画'!R32="","",'作業計画'!R32)</x:f>
      </x:c>
      <x:c r="AH32" s="289" t="n">
        <x:f>'作業計画'!S32</x:f>
        <x:v>1</x:v>
      </x:c>
      <x:c r="AI32" s="289" t="n">
        <x:f>'作業計画'!T32</x:f>
        <x:v>0</x:v>
      </x:c>
      <x:c r="AJ32" s="305" t="n">
        <x:f>'作業計画'!U32</x:f>
        <x:v>0</x:v>
      </x:c>
      <x:c r="AK32" s="289" t="str">
        <x:f>'作業計画'!V32</x:f>
        <x:v>予定前</x:v>
      </x:c>
      <x:c r="AL32" s="289" t="str">
        <x:f>'作業計画'!W32</x:f>
        <x:v>32</x:v>
      </x:c>
      <x:c r="AM32" s="289" t="str">
        <x:f>'作業計画'!J32&amp;IF('作業計画'!K32="",""," / "&amp;'作業計画'!K32)&amp;IF('作業計画'!L32="",""," / "&amp;'作業計画'!L32)</x:f>
        <x:v>00024 / 00008</x:v>
      </x:c>
      <x:c r="AN32" s="250" t="str">
        <x:f>'作業計画'!Y32</x:f>
        <x:v>参照可否・接続設定・対象テーブル一覧</x:v>
      </x:c>
      <x:c r="AO32" s="250" t="str">
        <x:f>IF('作業計画'!Z32="","",'作業計画'!Z32)</x:f>
      </x:c>
      <x:c r="AP32" s="251" t="str">
        <x:f>'作業計画'!X32</x:f>
        <x:v>原資料展開</x:v>
      </x:c>
    </x:row>
    <x:row r="33" ht="54" customHeight="1">
      <x:c r="A33" s="458" t="str">
        <x:f>'作業計画'!A33</x:f>
        <x:v>00027</x:v>
      </x:c>
      <x:c r="B33" s="324" t="str">
        <x:f>'作業計画'!B33</x:f>
        <x:v>03.事前検証</x:v>
      </x:c>
      <x:c r="C33" s="253" t="str">
        <x:f>'作業計画'!C33</x:f>
        <x:v>SharePoint参照・Excel配置の確認</x:v>
      </x:c>
      <x:c r="D33" s="253" t="str">
        <x:f>'作業計画'!D33</x:f>
        <x:v>データソース担当（要確定）</x:v>
      </x:c>
      <x:c r="E33" s="253" t="str">
        <x:f>'作業計画'!E33</x:f>
        <x:v>SharePoint／Excel</x:v>
      </x:c>
      <x:c r="F33" s="291" t="str">
        <x:f>'作業計画'!F33</x:f>
        <x:v>2.中</x:v>
      </x:c>
      <x:c r="G33" s="291" t="str">
        <x:f>'作業計画'!G33</x:f>
        <x:v>00.未確認</x:v>
      </x:c>
      <x:c r="H33" s="306" t="str">
        <x:f>IF('作業計画'!$H33="設計",IF('作業計画'!O33="","",'作業計画'!O33),"")</x:f>
      </x:c>
      <x:c r="I33" s="306" t="str">
        <x:f>IF('作業計画'!$H33="設計",IF('作業計画'!P33="","",'作業計画'!P33),"")</x:f>
      </x:c>
      <x:c r="J33" s="306" t="str">
        <x:f>IF('作業計画'!$H33="設計",IF('作業計画'!Q33="","",'作業計画'!Q33),"")</x:f>
      </x:c>
      <x:c r="K33" s="306" t="str">
        <x:f>IF('作業計画'!$H33="設計",IF('作業計画'!R33="","",'作業計画'!R33),"")</x:f>
      </x:c>
      <x:c r="L33" s="307" t="str">
        <x:f>IF('作業計画'!$H33="設計",'作業計画'!U33,"")</x:f>
      </x:c>
      <x:c r="M33" s="291" t="str">
        <x:f>IF('作業計画'!$H33="設計",'作業計画'!V33,"")</x:f>
      </x:c>
      <x:c r="N33" s="306" t="n">
        <x:f>IF('作業計画'!$H33="開発",IF('作業計画'!O33="","",'作業計画'!O33),"")</x:f>
        <x:v>46342</x:v>
      </x:c>
      <x:c r="O33" s="306" t="n">
        <x:f>IF('作業計画'!$H33="開発",IF('作業計画'!P33="","",'作業計画'!P33),"")</x:f>
        <x:v>46343</x:v>
      </x:c>
      <x:c r="P33" s="306" t="str">
        <x:f>IF('作業計画'!$H33="開発",IF('作業計画'!Q33="","",'作業計画'!Q33),"")</x:f>
      </x:c>
      <x:c r="Q33" s="306" t="str">
        <x:f>IF('作業計画'!$H33="開発",IF('作業計画'!R33="","",'作業計画'!R33),"")</x:f>
      </x:c>
      <x:c r="R33" s="291" t="n">
        <x:f>IF('作業計画'!$H33="開発",'作業計画'!S33,"")</x:f>
        <x:v>1</x:v>
      </x:c>
      <x:c r="S33" s="291" t="n">
        <x:f>IF('作業計画'!$H33="開発",'作業計画'!T33,"")</x:f>
        <x:v>0</x:v>
      </x:c>
      <x:c r="T33" s="307" t="n">
        <x:f>IF('作業計画'!$H33="開発",'作業計画'!U33,"")</x:f>
        <x:v>0</x:v>
      </x:c>
      <x:c r="U33" s="291" t="str">
        <x:f>IF('作業計画'!$H33="開発",'作業計画'!V33,"")</x:f>
        <x:v>予定前</x:v>
      </x:c>
      <x:c r="V33" s="306" t="str">
        <x:f>IF('作業計画'!$H33="テスト",IF('作業計画'!O33="","",'作業計画'!O33),"")</x:f>
      </x:c>
      <x:c r="W33" s="306" t="str">
        <x:f>IF('作業計画'!$H33="テスト",IF('作業計画'!P33="","",'作業計画'!P33),"")</x:f>
      </x:c>
      <x:c r="X33" s="306" t="str">
        <x:f>IF('作業計画'!$H33="テスト",IF('作業計画'!Q33="","",'作業計画'!Q33),"")</x:f>
      </x:c>
      <x:c r="Y33" s="306" t="str">
        <x:f>IF('作業計画'!$H33="テスト",IF('作業計画'!R33="","",'作業計画'!R33),"")</x:f>
      </x:c>
      <x:c r="Z33" s="291" t="str">
        <x:f>IF('作業計画'!$H33="テスト",'作業計画'!S33,"")</x:f>
      </x:c>
      <x:c r="AA33" s="291" t="str">
        <x:f>IF('作業計画'!$H33="テスト",'作業計画'!T33,"")</x:f>
      </x:c>
      <x:c r="AB33" s="307" t="str">
        <x:f>IF('作業計画'!$H33="テスト",'作業計画'!U33,"")</x:f>
      </x:c>
      <x:c r="AC33" s="291" t="str">
        <x:f>IF('作業計画'!$H33="テスト",'作業計画'!V33,"")</x:f>
      </x:c>
      <x:c r="AD33" s="306" t="n">
        <x:f>IF('作業計画'!O33="","",'作業計画'!O33)</x:f>
        <x:v>46342</x:v>
      </x:c>
      <x:c r="AE33" s="306" t="n">
        <x:f>IF('作業計画'!P33="","",'作業計画'!P33)</x:f>
        <x:v>46343</x:v>
      </x:c>
      <x:c r="AF33" s="306" t="str">
        <x:f>IF('作業計画'!Q33="","",'作業計画'!Q33)</x:f>
      </x:c>
      <x:c r="AG33" s="306" t="str">
        <x:f>IF('作業計画'!R33="","",'作業計画'!R33)</x:f>
      </x:c>
      <x:c r="AH33" s="291" t="n">
        <x:f>'作業計画'!S33</x:f>
        <x:v>1</x:v>
      </x:c>
      <x:c r="AI33" s="291" t="n">
        <x:f>'作業計画'!T33</x:f>
        <x:v>0</x:v>
      </x:c>
      <x:c r="AJ33" s="307" t="n">
        <x:f>'作業計画'!U33</x:f>
        <x:v>0</x:v>
      </x:c>
      <x:c r="AK33" s="291" t="str">
        <x:f>'作業計画'!V33</x:f>
        <x:v>予定前</x:v>
      </x:c>
      <x:c r="AL33" s="291" t="str">
        <x:f>'作業計画'!W33</x:f>
        <x:v>33</x:v>
      </x:c>
      <x:c r="AM33" s="291" t="str">
        <x:f>'作業計画'!J33&amp;IF('作業計画'!K33="",""," / "&amp;'作業計画'!K33)&amp;IF('作業計画'!L33="",""," / "&amp;'作業計画'!L33)</x:f>
        <x:v>00024 / 00016</x:v>
      </x:c>
      <x:c r="AN33" s="253" t="str">
        <x:f>'作業計画'!Y33</x:f>
        <x:v>ファイル配置・参照権限・列定義の確認結果</x:v>
      </x:c>
      <x:c r="AO33" s="253" t="str">
        <x:f>IF('作業計画'!Z33="","",'作業計画'!Z33)</x:f>
        <x:v>必要に応じてExcelを作成・移動する。</x:v>
      </x:c>
      <x:c r="AP33" s="254" t="str">
        <x:f>'作業計画'!X33</x:f>
        <x:v>原資料展開</x:v>
      </x:c>
    </x:row>
    <x:row r="34" ht="54" customHeight="1">
      <x:c r="A34" s="457" t="str">
        <x:f>'作業計画'!A34</x:f>
        <x:v>00028</x:v>
      </x:c>
      <x:c r="B34" s="324" t="str">
        <x:f>'作業計画'!B34</x:f>
        <x:v>03.事前検証</x:v>
      </x:c>
      <x:c r="C34" s="328" t="str">
        <x:f>'作業計画'!C34</x:f>
        <x:v>Fabric→Dataverseテスト連携の事前検証</x:v>
      </x:c>
      <x:c r="D34" s="250" t="str">
        <x:f>'作業計画'!D34</x:f>
        <x:v>連携担当（要確定）</x:v>
      </x:c>
      <x:c r="E34" s="250" t="str">
        <x:f>'作業計画'!E34</x:f>
        <x:v>Fabric／Dataverse</x:v>
      </x:c>
      <x:c r="F34" s="289" t="str">
        <x:f>'作業計画'!F34</x:f>
        <x:v>1.高</x:v>
      </x:c>
      <x:c r="G34" s="289" t="str">
        <x:f>'作業計画'!G34</x:f>
        <x:v>00.未確認</x:v>
      </x:c>
      <x:c r="H34" s="304" t="str">
        <x:f>IF('作業計画'!$H34="設計",IF('作業計画'!O34="","",'作業計画'!O34),"")</x:f>
      </x:c>
      <x:c r="I34" s="304" t="str">
        <x:f>IF('作業計画'!$H34="設計",IF('作業計画'!P34="","",'作業計画'!P34),"")</x:f>
      </x:c>
      <x:c r="J34" s="304" t="str">
        <x:f>IF('作業計画'!$H34="設計",IF('作業計画'!Q34="","",'作業計画'!Q34),"")</x:f>
      </x:c>
      <x:c r="K34" s="304" t="str">
        <x:f>IF('作業計画'!$H34="設計",IF('作業計画'!R34="","",'作業計画'!R34),"")</x:f>
      </x:c>
      <x:c r="L34" s="305" t="str">
        <x:f>IF('作業計画'!$H34="設計",'作業計画'!U34,"")</x:f>
      </x:c>
      <x:c r="M34" s="289" t="str">
        <x:f>IF('作業計画'!$H34="設計",'作業計画'!V34,"")</x:f>
      </x:c>
      <x:c r="N34" s="304" t="n">
        <x:f>IF('作業計画'!$H34="開発",IF('作業計画'!O34="","",'作業計画'!O34),"")</x:f>
        <x:v>46343</x:v>
      </x:c>
      <x:c r="O34" s="304" t="n">
        <x:f>IF('作業計画'!$H34="開発",IF('作業計画'!P34="","",'作業計画'!P34),"")</x:f>
        <x:v>46345</x:v>
      </x:c>
      <x:c r="P34" s="304" t="str">
        <x:f>IF('作業計画'!$H34="開発",IF('作業計画'!Q34="","",'作業計画'!Q34),"")</x:f>
      </x:c>
      <x:c r="Q34" s="304" t="str">
        <x:f>IF('作業計画'!$H34="開発",IF('作業計画'!R34="","",'作業計画'!R34),"")</x:f>
      </x:c>
      <x:c r="R34" s="289" t="n">
        <x:f>IF('作業計画'!$H34="開発",'作業計画'!S34,"")</x:f>
        <x:v>1</x:v>
      </x:c>
      <x:c r="S34" s="289" t="n">
        <x:f>IF('作業計画'!$H34="開発",'作業計画'!T34,"")</x:f>
        <x:v>0</x:v>
      </x:c>
      <x:c r="T34" s="305" t="n">
        <x:f>IF('作業計画'!$H34="開発",'作業計画'!U34,"")</x:f>
        <x:v>0</x:v>
      </x:c>
      <x:c r="U34" s="289" t="str">
        <x:f>IF('作業計画'!$H34="開発",'作業計画'!V34,"")</x:f>
        <x:v>予定前</x:v>
      </x:c>
      <x:c r="V34" s="304" t="str">
        <x:f>IF('作業計画'!$H34="テスト",IF('作業計画'!O34="","",'作業計画'!O34),"")</x:f>
      </x:c>
      <x:c r="W34" s="304" t="str">
        <x:f>IF('作業計画'!$H34="テスト",IF('作業計画'!P34="","",'作業計画'!P34),"")</x:f>
      </x:c>
      <x:c r="X34" s="304" t="str">
        <x:f>IF('作業計画'!$H34="テスト",IF('作業計画'!Q34="","",'作業計画'!Q34),"")</x:f>
      </x:c>
      <x:c r="Y34" s="304" t="str">
        <x:f>IF('作業計画'!$H34="テスト",IF('作業計画'!R34="","",'作業計画'!R34),"")</x:f>
      </x:c>
      <x:c r="Z34" s="289" t="str">
        <x:f>IF('作業計画'!$H34="テスト",'作業計画'!S34,"")</x:f>
      </x:c>
      <x:c r="AA34" s="289" t="str">
        <x:f>IF('作業計画'!$H34="テスト",'作業計画'!T34,"")</x:f>
      </x:c>
      <x:c r="AB34" s="305" t="str">
        <x:f>IF('作業計画'!$H34="テスト",'作業計画'!U34,"")</x:f>
      </x:c>
      <x:c r="AC34" s="289" t="str">
        <x:f>IF('作業計画'!$H34="テスト",'作業計画'!V34,"")</x:f>
      </x:c>
      <x:c r="AD34" s="304" t="n">
        <x:f>IF('作業計画'!O34="","",'作業計画'!O34)</x:f>
        <x:v>46343</x:v>
      </x:c>
      <x:c r="AE34" s="304" t="n">
        <x:f>IF('作業計画'!P34="","",'作業計画'!P34)</x:f>
        <x:v>46345</x:v>
      </x:c>
      <x:c r="AF34" s="304" t="str">
        <x:f>IF('作業計画'!Q34="","",'作業計画'!Q34)</x:f>
      </x:c>
      <x:c r="AG34" s="304" t="str">
        <x:f>IF('作業計画'!R34="","",'作業計画'!R34)</x:f>
      </x:c>
      <x:c r="AH34" s="289" t="n">
        <x:f>'作業計画'!S34</x:f>
        <x:v>1</x:v>
      </x:c>
      <x:c r="AI34" s="289" t="n">
        <x:f>'作業計画'!T34</x:f>
        <x:v>0</x:v>
      </x:c>
      <x:c r="AJ34" s="305" t="n">
        <x:f>'作業計画'!U34</x:f>
        <x:v>0</x:v>
      </x:c>
      <x:c r="AK34" s="289" t="str">
        <x:f>'作業計画'!V34</x:f>
        <x:v>予定前</x:v>
      </x:c>
      <x:c r="AL34" s="289" t="str">
        <x:f>'作業計画'!W34</x:f>
        <x:v>24</x:v>
      </x:c>
      <x:c r="AM34" s="289" t="str">
        <x:f>'作業計画'!J34&amp;IF('作業計画'!K34="",""," / "&amp;'作業計画'!K34)&amp;IF('作業計画'!L34="",""," / "&amp;'作業計画'!L34)</x:f>
        <x:v>00024 / 00014 / 00019</x:v>
      </x:c>
      <x:c r="AN34" s="250" t="str">
        <x:f>'作業計画'!Y34</x:f>
        <x:v>テスト環境間の疎通・コピー・更新結果の検証記録</x:v>
      </x:c>
      <x:c r="AO34" s="250" t="str">
        <x:f>IF('作業計画'!Z34="","",'作業計画'!Z34)</x:f>
        <x:v>元資料で事前確認を強調。接続先の許可・権限確認後に実施。</x:v>
      </x:c>
      <x:c r="AP34" s="251" t="str">
        <x:f>'作業計画'!X34</x:f>
        <x:v>原資料展開</x:v>
      </x:c>
    </x:row>
    <x:row r="35" ht="54" customHeight="1">
      <x:c r="A35" s="458" t="str">
        <x:f>'作業計画'!A35</x:f>
        <x:v>00029</x:v>
      </x:c>
      <x:c r="B35" s="324" t="str">
        <x:f>'作業計画'!B35</x:f>
        <x:v>03.事前検証</x:v>
      </x:c>
      <x:c r="C35" s="328" t="str">
        <x:f>'作業計画'!C35</x:f>
        <x:v>SQL共通Functionの作成・呼出し事前検証</x:v>
      </x:c>
      <x:c r="D35" s="253" t="str">
        <x:f>'作業計画'!D35</x:f>
        <x:v>李（元資料の確認先）</x:v>
      </x:c>
      <x:c r="E35" s="253" t="str">
        <x:f>'作業計画'!E35</x:f>
        <x:v>GoldWarehouse／SQL endpoint</x:v>
      </x:c>
      <x:c r="F35" s="291" t="str">
        <x:f>'作業計画'!F35</x:f>
        <x:v>1.高</x:v>
      </x:c>
      <x:c r="G35" s="291" t="str">
        <x:f>'作業計画'!G35</x:f>
        <x:v>00.未確認</x:v>
      </x:c>
      <x:c r="H35" s="306" t="str">
        <x:f>IF('作業計画'!$H35="設計",IF('作業計画'!O35="","",'作業計画'!O35),"")</x:f>
      </x:c>
      <x:c r="I35" s="306" t="str">
        <x:f>IF('作業計画'!$H35="設計",IF('作業計画'!P35="","",'作業計画'!P35),"")</x:f>
      </x:c>
      <x:c r="J35" s="306" t="str">
        <x:f>IF('作業計画'!$H35="設計",IF('作業計画'!Q35="","",'作業計画'!Q35),"")</x:f>
      </x:c>
      <x:c r="K35" s="306" t="str">
        <x:f>IF('作業計画'!$H35="設計",IF('作業計画'!R35="","",'作業計画'!R35),"")</x:f>
      </x:c>
      <x:c r="L35" s="307" t="str">
        <x:f>IF('作業計画'!$H35="設計",'作業計画'!U35,"")</x:f>
      </x:c>
      <x:c r="M35" s="291" t="str">
        <x:f>IF('作業計画'!$H35="設計",'作業計画'!V35,"")</x:f>
      </x:c>
      <x:c r="N35" s="306" t="n">
        <x:f>IF('作業計画'!$H35="開発",IF('作業計画'!O35="","",'作業計画'!O35),"")</x:f>
        <x:v>46342</x:v>
      </x:c>
      <x:c r="O35" s="306" t="n">
        <x:f>IF('作業計画'!$H35="開発",IF('作業計画'!P35="","",'作業計画'!P35),"")</x:f>
        <x:v>46344</x:v>
      </x:c>
      <x:c r="P35" s="306" t="str">
        <x:f>IF('作業計画'!$H35="開発",IF('作業計画'!Q35="","",'作業計画'!Q35),"")</x:f>
      </x:c>
      <x:c r="Q35" s="306" t="str">
        <x:f>IF('作業計画'!$H35="開発",IF('作業計画'!R35="","",'作業計画'!R35),"")</x:f>
      </x:c>
      <x:c r="R35" s="291" t="n">
        <x:f>IF('作業計画'!$H35="開発",'作業計画'!S35,"")</x:f>
        <x:v>1</x:v>
      </x:c>
      <x:c r="S35" s="291" t="n">
        <x:f>IF('作業計画'!$H35="開発",'作業計画'!T35,"")</x:f>
        <x:v>0</x:v>
      </x:c>
      <x:c r="T35" s="307" t="n">
        <x:f>IF('作業計画'!$H35="開発",'作業計画'!U35,"")</x:f>
        <x:v>0</x:v>
      </x:c>
      <x:c r="U35" s="291" t="str">
        <x:f>IF('作業計画'!$H35="開発",'作業計画'!V35,"")</x:f>
        <x:v>予定前</x:v>
      </x:c>
      <x:c r="V35" s="306" t="str">
        <x:f>IF('作業計画'!$H35="テスト",IF('作業計画'!O35="","",'作業計画'!O35),"")</x:f>
      </x:c>
      <x:c r="W35" s="306" t="str">
        <x:f>IF('作業計画'!$H35="テスト",IF('作業計画'!P35="","",'作業計画'!P35),"")</x:f>
      </x:c>
      <x:c r="X35" s="306" t="str">
        <x:f>IF('作業計画'!$H35="テスト",IF('作業計画'!Q35="","",'作業計画'!Q35),"")</x:f>
      </x:c>
      <x:c r="Y35" s="306" t="str">
        <x:f>IF('作業計画'!$H35="テスト",IF('作業計画'!R35="","",'作業計画'!R35),"")</x:f>
      </x:c>
      <x:c r="Z35" s="291" t="str">
        <x:f>IF('作業計画'!$H35="テスト",'作業計画'!S35,"")</x:f>
      </x:c>
      <x:c r="AA35" s="291" t="str">
        <x:f>IF('作業計画'!$H35="テスト",'作業計画'!T35,"")</x:f>
      </x:c>
      <x:c r="AB35" s="307" t="str">
        <x:f>IF('作業計画'!$H35="テスト",'作業計画'!U35,"")</x:f>
      </x:c>
      <x:c r="AC35" s="291" t="str">
        <x:f>IF('作業計画'!$H35="テスト",'作業計画'!V35,"")</x:f>
      </x:c>
      <x:c r="AD35" s="306" t="n">
        <x:f>IF('作業計画'!O35="","",'作業計画'!O35)</x:f>
        <x:v>46342</x:v>
      </x:c>
      <x:c r="AE35" s="306" t="n">
        <x:f>IF('作業計画'!P35="","",'作業計画'!P35)</x:f>
        <x:v>46344</x:v>
      </x:c>
      <x:c r="AF35" s="306" t="str">
        <x:f>IF('作業計画'!Q35="","",'作業計画'!Q35)</x:f>
      </x:c>
      <x:c r="AG35" s="306" t="str">
        <x:f>IF('作業計画'!R35="","",'作業計画'!R35)</x:f>
      </x:c>
      <x:c r="AH35" s="291" t="n">
        <x:f>'作業計画'!S35</x:f>
        <x:v>1</x:v>
      </x:c>
      <x:c r="AI35" s="291" t="n">
        <x:f>'作業計画'!T35</x:f>
        <x:v>0</x:v>
      </x:c>
      <x:c r="AJ35" s="307" t="n">
        <x:f>'作業計画'!U35</x:f>
        <x:v>0</x:v>
      </x:c>
      <x:c r="AK35" s="291" t="str">
        <x:f>'作業計画'!V35</x:f>
        <x:v>予定前</x:v>
      </x:c>
      <x:c r="AL35" s="291" t="str">
        <x:f>'作業計画'!W35</x:f>
        <x:v>43</x:v>
      </x:c>
      <x:c r="AM35" s="291" t="str">
        <x:f>'作業計画'!J35&amp;IF('作業計画'!K35="",""," / "&amp;'作業計画'!K35)&amp;IF('作業計画'!L35="",""," / "&amp;'作業計画'!L35)</x:f>
        <x:v>00024</x:v>
      </x:c>
      <x:c r="AN35" s="253" t="str">
        <x:f>'作業計画'!Y35</x:f>
        <x:v>作成先・権限・SQL実行・文字列処理の検証結果</x:v>
      </x:c>
      <x:c r="AO35" s="253" t="str">
        <x:f>IF('作業計画'!Z35="","",'作業計画'!Z35)</x:f>
        <x:v>Warehouse／SQL分析エンドポイントの採用先は検証で確定。</x:v>
      </x:c>
      <x:c r="AP35" s="254" t="str">
        <x:f>'作業計画'!X35</x:f>
        <x:v>原資料展開</x:v>
      </x:c>
    </x:row>
    <x:row r="36" ht="54" customHeight="1">
      <x:c r="A36" s="457" t="str">
        <x:f>'作業計画'!A36</x:f>
        <x:v>00030</x:v>
      </x:c>
      <x:c r="B36" s="324" t="str">
        <x:f>'作業計画'!B36</x:f>
        <x:v>03.事前検証</x:v>
      </x:c>
      <x:c r="C36" s="328" t="str">
        <x:f>'作業計画'!C36</x:f>
        <x:v>別Notebook共通関数の参照呼出し事前検証</x:v>
      </x:c>
      <x:c r="D36" s="250" t="str">
        <x:f>'作業計画'!D36</x:f>
        <x:v>李（元資料の確認先）</x:v>
      </x:c>
      <x:c r="E36" s="250" t="str">
        <x:f>'作業計画'!E36</x:f>
        <x:v>Fabric Notebook</x:v>
      </x:c>
      <x:c r="F36" s="289" t="str">
        <x:f>'作業計画'!F36</x:f>
        <x:v>1.高</x:v>
      </x:c>
      <x:c r="G36" s="289" t="str">
        <x:f>'作業計画'!G36</x:f>
        <x:v>00.未確認</x:v>
      </x:c>
      <x:c r="H36" s="304" t="str">
        <x:f>IF('作業計画'!$H36="設計",IF('作業計画'!O36="","",'作業計画'!O36),"")</x:f>
      </x:c>
      <x:c r="I36" s="304" t="str">
        <x:f>IF('作業計画'!$H36="設計",IF('作業計画'!P36="","",'作業計画'!P36),"")</x:f>
      </x:c>
      <x:c r="J36" s="304" t="str">
        <x:f>IF('作業計画'!$H36="設計",IF('作業計画'!Q36="","",'作業計画'!Q36),"")</x:f>
      </x:c>
      <x:c r="K36" s="304" t="str">
        <x:f>IF('作業計画'!$H36="設計",IF('作業計画'!R36="","",'作業計画'!R36),"")</x:f>
      </x:c>
      <x:c r="L36" s="305" t="str">
        <x:f>IF('作業計画'!$H36="設計",'作業計画'!U36,"")</x:f>
      </x:c>
      <x:c r="M36" s="289" t="str">
        <x:f>IF('作業計画'!$H36="設計",'作業計画'!V36,"")</x:f>
      </x:c>
      <x:c r="N36" s="304" t="n">
        <x:f>IF('作業計画'!$H36="開発",IF('作業計画'!O36="","",'作業計画'!O36),"")</x:f>
        <x:v>46342</x:v>
      </x:c>
      <x:c r="O36" s="304" t="n">
        <x:f>IF('作業計画'!$H36="開発",IF('作業計画'!P36="","",'作業計画'!P36),"")</x:f>
        <x:v>46344</x:v>
      </x:c>
      <x:c r="P36" s="304" t="str">
        <x:f>IF('作業計画'!$H36="開発",IF('作業計画'!Q36="","",'作業計画'!Q36),"")</x:f>
      </x:c>
      <x:c r="Q36" s="304" t="str">
        <x:f>IF('作業計画'!$H36="開発",IF('作業計画'!R36="","",'作業計画'!R36),"")</x:f>
      </x:c>
      <x:c r="R36" s="289" t="n">
        <x:f>IF('作業計画'!$H36="開発",'作業計画'!S36,"")</x:f>
        <x:v>1</x:v>
      </x:c>
      <x:c r="S36" s="289" t="n">
        <x:f>IF('作業計画'!$H36="開発",'作業計画'!T36,"")</x:f>
        <x:v>0</x:v>
      </x:c>
      <x:c r="T36" s="305" t="n">
        <x:f>IF('作業計画'!$H36="開発",'作業計画'!U36,"")</x:f>
        <x:v>0</x:v>
      </x:c>
      <x:c r="U36" s="289" t="str">
        <x:f>IF('作業計画'!$H36="開発",'作業計画'!V36,"")</x:f>
        <x:v>予定前</x:v>
      </x:c>
      <x:c r="V36" s="304" t="str">
        <x:f>IF('作業計画'!$H36="テスト",IF('作業計画'!O36="","",'作業計画'!O36),"")</x:f>
      </x:c>
      <x:c r="W36" s="304" t="str">
        <x:f>IF('作業計画'!$H36="テスト",IF('作業計画'!P36="","",'作業計画'!P36),"")</x:f>
      </x:c>
      <x:c r="X36" s="304" t="str">
        <x:f>IF('作業計画'!$H36="テスト",IF('作業計画'!Q36="","",'作業計画'!Q36),"")</x:f>
      </x:c>
      <x:c r="Y36" s="304" t="str">
        <x:f>IF('作業計画'!$H36="テスト",IF('作業計画'!R36="","",'作業計画'!R36),"")</x:f>
      </x:c>
      <x:c r="Z36" s="289" t="str">
        <x:f>IF('作業計画'!$H36="テスト",'作業計画'!S36,"")</x:f>
      </x:c>
      <x:c r="AA36" s="289" t="str">
        <x:f>IF('作業計画'!$H36="テスト",'作業計画'!T36,"")</x:f>
      </x:c>
      <x:c r="AB36" s="305" t="str">
        <x:f>IF('作業計画'!$H36="テスト",'作業計画'!U36,"")</x:f>
      </x:c>
      <x:c r="AC36" s="289" t="str">
        <x:f>IF('作業計画'!$H36="テスト",'作業計画'!V36,"")</x:f>
      </x:c>
      <x:c r="AD36" s="304" t="n">
        <x:f>IF('作業計画'!O36="","",'作業計画'!O36)</x:f>
        <x:v>46342</x:v>
      </x:c>
      <x:c r="AE36" s="304" t="n">
        <x:f>IF('作業計画'!P36="","",'作業計画'!P36)</x:f>
        <x:v>46344</x:v>
      </x:c>
      <x:c r="AF36" s="304" t="str">
        <x:f>IF('作業計画'!Q36="","",'作業計画'!Q36)</x:f>
      </x:c>
      <x:c r="AG36" s="304" t="str">
        <x:f>IF('作業計画'!R36="","",'作業計画'!R36)</x:f>
      </x:c>
      <x:c r="AH36" s="289" t="n">
        <x:f>'作業計画'!S36</x:f>
        <x:v>1</x:v>
      </x:c>
      <x:c r="AI36" s="289" t="n">
        <x:f>'作業計画'!T36</x:f>
        <x:v>0</x:v>
      </x:c>
      <x:c r="AJ36" s="305" t="n">
        <x:f>'作業計画'!U36</x:f>
        <x:v>0</x:v>
      </x:c>
      <x:c r="AK36" s="289" t="str">
        <x:f>'作業計画'!V36</x:f>
        <x:v>予定前</x:v>
      </x:c>
      <x:c r="AL36" s="289" t="str">
        <x:f>'作業計画'!W36</x:f>
        <x:v>47</x:v>
      </x:c>
      <x:c r="AM36" s="289" t="str">
        <x:f>'作業計画'!J36&amp;IF('作業計画'!K36="",""," / "&amp;'作業計画'!K36)&amp;IF('作業計画'!L36="",""," / "&amp;'作業計画'!L36)</x:f>
        <x:v>00024</x:v>
      </x:c>
      <x:c r="AN36" s="250" t="str">
        <x:f>'作業計画'!Y36</x:f>
        <x:v>共通Notebookの読込み・関数呼出し・実行順・引数の検証結果</x:v>
      </x:c>
      <x:c r="AO36" s="250" t="str">
        <x:f>IF('作業計画'!Z36="","",'作業計画'!Z36)</x:f>
        <x:v>会話で指定された方式A（%run）を検証。SQL Functionとは別タスク。</x:v>
      </x:c>
      <x:c r="AP36" s="251" t="str">
        <x:f>'作業計画'!X36</x:f>
        <x:v>原資料展開</x:v>
      </x:c>
    </x:row>
    <x:row r="37" ht="54" customHeight="1">
      <x:c r="A37" s="458" t="str">
        <x:f>'作業計画'!A37</x:f>
        <x:v>00031</x:v>
      </x:c>
      <x:c r="B37" s="322" t="str">
        <x:f>'作業計画'!B37</x:f>
        <x:v>02.要件・設計</x:v>
      </x:c>
      <x:c r="C37" s="253" t="str">
        <x:f>'作業計画'!C37</x:f>
        <x:v>Function・View・差分・共通Notebook・出力共通設計</x:v>
      </x:c>
      <x:c r="D37" s="253" t="str">
        <x:f>'作業計画'!D37</x:f>
        <x:v>設計担当（要確定）</x:v>
      </x:c>
      <x:c r="E37" s="253" t="str">
        <x:f>'作業計画'!E37</x:f>
        <x:v>Fabric</x:v>
      </x:c>
      <x:c r="F37" s="291" t="str">
        <x:f>'作業計画'!F37</x:f>
        <x:v>1.高</x:v>
      </x:c>
      <x:c r="G37" s="291" t="str">
        <x:f>'作業計画'!G37</x:f>
        <x:v>00.未確認</x:v>
      </x:c>
      <x:c r="H37" s="306" t="n">
        <x:f>IF('作業計画'!$H37="設計",IF('作業計画'!O37="","",'作業計画'!O37),"")</x:f>
        <x:v>46346</x:v>
      </x:c>
      <x:c r="I37" s="306" t="n">
        <x:f>IF('作業計画'!$H37="設計",IF('作業計画'!P37="","",'作業計画'!P37),"")</x:f>
        <x:v>46350</x:v>
      </x:c>
      <x:c r="J37" s="306" t="str">
        <x:f>IF('作業計画'!$H37="設計",IF('作業計画'!Q37="","",'作業計画'!Q37),"")</x:f>
      </x:c>
      <x:c r="K37" s="306" t="str">
        <x:f>IF('作業計画'!$H37="設計",IF('作業計画'!R37="","",'作業計画'!R37),"")</x:f>
      </x:c>
      <x:c r="L37" s="307" t="n">
        <x:f>IF('作業計画'!$H37="設計",'作業計画'!U37,"")</x:f>
        <x:v>0</x:v>
      </x:c>
      <x:c r="M37" s="291" t="str">
        <x:f>IF('作業計画'!$H37="設計",'作業計画'!V37,"")</x:f>
        <x:v>予定前</x:v>
      </x:c>
      <x:c r="N37" s="306" t="str">
        <x:f>IF('作業計画'!$H37="開発",IF('作業計画'!O37="","",'作業計画'!O37),"")</x:f>
      </x:c>
      <x:c r="O37" s="306" t="str">
        <x:f>IF('作業計画'!$H37="開発",IF('作業計画'!P37="","",'作業計画'!P37),"")</x:f>
      </x:c>
      <x:c r="P37" s="306" t="str">
        <x:f>IF('作業計画'!$H37="開発",IF('作業計画'!Q37="","",'作業計画'!Q37),"")</x:f>
      </x:c>
      <x:c r="Q37" s="306" t="str">
        <x:f>IF('作業計画'!$H37="開発",IF('作業計画'!R37="","",'作業計画'!R37),"")</x:f>
      </x:c>
      <x:c r="R37" s="291" t="str">
        <x:f>IF('作業計画'!$H37="開発",'作業計画'!S37,"")</x:f>
      </x:c>
      <x:c r="S37" s="291" t="str">
        <x:f>IF('作業計画'!$H37="開発",'作業計画'!T37,"")</x:f>
      </x:c>
      <x:c r="T37" s="307" t="str">
        <x:f>IF('作業計画'!$H37="開発",'作業計画'!U37,"")</x:f>
      </x:c>
      <x:c r="U37" s="291" t="str">
        <x:f>IF('作業計画'!$H37="開発",'作業計画'!V37,"")</x:f>
      </x:c>
      <x:c r="V37" s="306" t="str">
        <x:f>IF('作業計画'!$H37="テスト",IF('作業計画'!O37="","",'作業計画'!O37),"")</x:f>
      </x:c>
      <x:c r="W37" s="306" t="str">
        <x:f>IF('作業計画'!$H37="テスト",IF('作業計画'!P37="","",'作業計画'!P37),"")</x:f>
      </x:c>
      <x:c r="X37" s="306" t="str">
        <x:f>IF('作業計画'!$H37="テスト",IF('作業計画'!Q37="","",'作業計画'!Q37),"")</x:f>
      </x:c>
      <x:c r="Y37" s="306" t="str">
        <x:f>IF('作業計画'!$H37="テスト",IF('作業計画'!R37="","",'作業計画'!R37),"")</x:f>
      </x:c>
      <x:c r="Z37" s="291" t="str">
        <x:f>IF('作業計画'!$H37="テスト",'作業計画'!S37,"")</x:f>
      </x:c>
      <x:c r="AA37" s="291" t="str">
        <x:f>IF('作業計画'!$H37="テスト",'作業計画'!T37,"")</x:f>
      </x:c>
      <x:c r="AB37" s="307" t="str">
        <x:f>IF('作業計画'!$H37="テスト",'作業計画'!U37,"")</x:f>
      </x:c>
      <x:c r="AC37" s="291" t="str">
        <x:f>IF('作業計画'!$H37="テスト",'作業計画'!V37,"")</x:f>
      </x:c>
      <x:c r="AD37" s="306" t="n">
        <x:f>IF('作業計画'!O37="","",'作業計画'!O37)</x:f>
        <x:v>46346</x:v>
      </x:c>
      <x:c r="AE37" s="306" t="n">
        <x:f>IF('作業計画'!P37="","",'作業計画'!P37)</x:f>
        <x:v>46350</x:v>
      </x:c>
      <x:c r="AF37" s="306" t="str">
        <x:f>IF('作業計画'!Q37="","",'作業計画'!Q37)</x:f>
      </x:c>
      <x:c r="AG37" s="306" t="str">
        <x:f>IF('作業計画'!R37="","",'作業計画'!R37)</x:f>
      </x:c>
      <x:c r="AH37" s="291" t="n">
        <x:f>'作業計画'!S37</x:f>
        <x:v>1</x:v>
      </x:c>
      <x:c r="AI37" s="291" t="n">
        <x:f>'作業計画'!T37</x:f>
        <x:v>0</x:v>
      </x:c>
      <x:c r="AJ37" s="307" t="n">
        <x:f>'作業計画'!U37</x:f>
        <x:v>0</x:v>
      </x:c>
      <x:c r="AK37" s="291" t="str">
        <x:f>'作業計画'!V37</x:f>
        <x:v>予定前</x:v>
      </x:c>
      <x:c r="AL37" s="291" t="str">
        <x:f>'作業計画'!W37</x:f>
        <x:v>43／44／46／47／48／49</x:v>
      </x:c>
      <x:c r="AM37" s="291" t="str">
        <x:f>'作業計画'!J37&amp;IF('作業計画'!K37="",""," / "&amp;'作業計画'!K37)&amp;IF('作業計画'!L37="",""," / "&amp;'作業計画'!L37)</x:f>
        <x:v>00028 / 00029 / 00030</x:v>
      </x:c>
      <x:c r="AN37" s="253" t="str">
        <x:f>'作業計画'!Y37</x:f>
        <x:v>共通処理仕様・入出力・Watermark・例外・再実行・適用先の設計</x:v>
      </x:c>
      <x:c r="AO37" s="253" t="str">
        <x:f>IF('作業計画'!Z37="","",'作業計画'!Z37)</x:f>
      </x:c>
      <x:c r="AP37" s="254" t="str">
        <x:f>'作業計画'!X37</x:f>
        <x:v>補足（原作業の設計）</x:v>
      </x:c>
    </x:row>
    <x:row r="38" ht="54" customHeight="1">
      <x:c r="A38" s="457" t="str">
        <x:f>'作業計画'!A38</x:f>
        <x:v>00032</x:v>
      </x:c>
      <x:c r="B38" s="322" t="str">
        <x:f>'作業計画'!B38</x:f>
        <x:v>02.要件・設計</x:v>
      </x:c>
      <x:c r="C38" s="250" t="str">
        <x:f>'作業計画'!C38</x:f>
        <x:v>Product：基本設計・詳細設計</x:v>
      </x:c>
      <x:c r="D38" s="250" t="str">
        <x:f>'作業計画'!D38</x:f>
        <x:v>設計担当（要確定）</x:v>
      </x:c>
      <x:c r="E38" s="250" t="str">
        <x:f>'作業計画'!E38</x:f>
        <x:v>Fabric</x:v>
      </x:c>
      <x:c r="F38" s="289" t="str">
        <x:f>'作業計画'!F38</x:f>
        <x:v>1.高</x:v>
      </x:c>
      <x:c r="G38" s="289" t="str">
        <x:f>'作業計画'!G38</x:f>
        <x:v>00.未確認</x:v>
      </x:c>
      <x:c r="H38" s="304" t="n">
        <x:f>IF('作業計画'!$H38="設計",IF('作業計画'!O38="","",'作業計画'!O38),"")</x:f>
        <x:v>46351</x:v>
      </x:c>
      <x:c r="I38" s="304" t="n">
        <x:f>IF('作業計画'!$H38="設計",IF('作業計画'!P38="","",'作業計画'!P38),"")</x:f>
        <x:v>46353</x:v>
      </x:c>
      <x:c r="J38" s="304" t="str">
        <x:f>IF('作業計画'!$H38="設計",IF('作業計画'!Q38="","",'作業計画'!Q38),"")</x:f>
      </x:c>
      <x:c r="K38" s="304" t="str">
        <x:f>IF('作業計画'!$H38="設計",IF('作業計画'!R38="","",'作業計画'!R38),"")</x:f>
      </x:c>
      <x:c r="L38" s="305" t="n">
        <x:f>IF('作業計画'!$H38="設計",'作業計画'!U38,"")</x:f>
        <x:v>0</x:v>
      </x:c>
      <x:c r="M38" s="289" t="str">
        <x:f>IF('作業計画'!$H38="設計",'作業計画'!V38,"")</x:f>
        <x:v>予定前</x:v>
      </x:c>
      <x:c r="N38" s="304" t="str">
        <x:f>IF('作業計画'!$H38="開発",IF('作業計画'!O38="","",'作業計画'!O38),"")</x:f>
      </x:c>
      <x:c r="O38" s="304" t="str">
        <x:f>IF('作業計画'!$H38="開発",IF('作業計画'!P38="","",'作業計画'!P38),"")</x:f>
      </x:c>
      <x:c r="P38" s="304" t="str">
        <x:f>IF('作業計画'!$H38="開発",IF('作業計画'!Q38="","",'作業計画'!Q38),"")</x:f>
      </x:c>
      <x:c r="Q38" s="304" t="str">
        <x:f>IF('作業計画'!$H38="開発",IF('作業計画'!R38="","",'作業計画'!R38),"")</x:f>
      </x:c>
      <x:c r="R38" s="289" t="str">
        <x:f>IF('作業計画'!$H38="開発",'作業計画'!S38,"")</x:f>
      </x:c>
      <x:c r="S38" s="289" t="str">
        <x:f>IF('作業計画'!$H38="開発",'作業計画'!T38,"")</x:f>
      </x:c>
      <x:c r="T38" s="305" t="str">
        <x:f>IF('作業計画'!$H38="開発",'作業計画'!U38,"")</x:f>
      </x:c>
      <x:c r="U38" s="289" t="str">
        <x:f>IF('作業計画'!$H38="開発",'作業計画'!V38,"")</x:f>
      </x:c>
      <x:c r="V38" s="304" t="str">
        <x:f>IF('作業計画'!$H38="テスト",IF('作業計画'!O38="","",'作業計画'!O38),"")</x:f>
      </x:c>
      <x:c r="W38" s="304" t="str">
        <x:f>IF('作業計画'!$H38="テスト",IF('作業計画'!P38="","",'作業計画'!P38),"")</x:f>
      </x:c>
      <x:c r="X38" s="304" t="str">
        <x:f>IF('作業計画'!$H38="テスト",IF('作業計画'!Q38="","",'作業計画'!Q38),"")</x:f>
      </x:c>
      <x:c r="Y38" s="304" t="str">
        <x:f>IF('作業計画'!$H38="テスト",IF('作業計画'!R38="","",'作業計画'!R38),"")</x:f>
      </x:c>
      <x:c r="Z38" s="289" t="str">
        <x:f>IF('作業計画'!$H38="テスト",'作業計画'!S38,"")</x:f>
      </x:c>
      <x:c r="AA38" s="289" t="str">
        <x:f>IF('作業計画'!$H38="テスト",'作業計画'!T38,"")</x:f>
      </x:c>
      <x:c r="AB38" s="305" t="str">
        <x:f>IF('作業計画'!$H38="テスト",'作業計画'!U38,"")</x:f>
      </x:c>
      <x:c r="AC38" s="289" t="str">
        <x:f>IF('作業計画'!$H38="テスト",'作業計画'!V38,"")</x:f>
      </x:c>
      <x:c r="AD38" s="304" t="n">
        <x:f>IF('作業計画'!O38="","",'作業計画'!O38)</x:f>
        <x:v>46351</x:v>
      </x:c>
      <x:c r="AE38" s="304" t="n">
        <x:f>IF('作業計画'!P38="","",'作業計画'!P38)</x:f>
        <x:v>46353</x:v>
      </x:c>
      <x:c r="AF38" s="304" t="str">
        <x:f>IF('作業計画'!Q38="","",'作業計画'!Q38)</x:f>
      </x:c>
      <x:c r="AG38" s="304" t="str">
        <x:f>IF('作業計画'!R38="","",'作業計画'!R38)</x:f>
      </x:c>
      <x:c r="AH38" s="289" t="n">
        <x:f>'作業計画'!S38</x:f>
        <x:v>1</x:v>
      </x:c>
      <x:c r="AI38" s="289" t="n">
        <x:f>'作業計画'!T38</x:f>
        <x:v>0</x:v>
      </x:c>
      <x:c r="AJ38" s="305" t="n">
        <x:f>'作業計画'!U38</x:f>
        <x:v>0</x:v>
      </x:c>
      <x:c r="AK38" s="289" t="str">
        <x:f>'作業計画'!V38</x:f>
        <x:v>予定前</x:v>
      </x:c>
      <x:c r="AL38" s="289" t="str">
        <x:f>'作業計画'!W38</x:f>
        <x:v>25</x:v>
      </x:c>
      <x:c r="AM38" s="289" t="str">
        <x:f>'作業計画'!J38&amp;IF('作業計画'!K38="",""," / "&amp;'作業計画'!K38)&amp;IF('作業計画'!L38="",""," / "&amp;'作業計画'!L38)</x:f>
        <x:v>00019 / 00025 / 00031</x:v>
      </x:c>
      <x:c r="AN38" s="250" t="str">
        <x:f>'作業計画'!Y38</x:f>
        <x:v>マッピング・変換・結合・更新・異常時処理・テスト観点の設計</x:v>
      </x:c>
      <x:c r="AO38" s="250" t="str">
        <x:f>IF('作業計画'!Z38="","",'作業計画'!Z38)</x:f>
        <x:v>依存関係は計画上の仮置き。実際の参照関係で見直す。</x:v>
      </x:c>
      <x:c r="AP38" s="251" t="str">
        <x:f>'作業計画'!X38</x:f>
        <x:v>原資料展開</x:v>
      </x:c>
    </x:row>
    <x:row r="39" ht="54" customHeight="1">
      <x:c r="A39" s="458" t="str">
        <x:f>'作業計画'!A39</x:f>
        <x:v>00033</x:v>
      </x:c>
      <x:c r="B39" s="322" t="str">
        <x:f>'作業計画'!B39</x:f>
        <x:v>02.要件・設計</x:v>
      </x:c>
      <x:c r="C39" s="253" t="str">
        <x:f>'作業計画'!C39</x:f>
        <x:v>Contact：基本設計・詳細設計</x:v>
      </x:c>
      <x:c r="D39" s="253" t="str">
        <x:f>'作業計画'!D39</x:f>
        <x:v>設計担当（要確定）</x:v>
      </x:c>
      <x:c r="E39" s="253" t="str">
        <x:f>'作業計画'!E39</x:f>
        <x:v>Fabric</x:v>
      </x:c>
      <x:c r="F39" s="291" t="str">
        <x:f>'作業計画'!F39</x:f>
        <x:v>1.高</x:v>
      </x:c>
      <x:c r="G39" s="291" t="str">
        <x:f>'作業計画'!G39</x:f>
        <x:v>00.未確認</x:v>
      </x:c>
      <x:c r="H39" s="306" t="n">
        <x:f>IF('作業計画'!$H39="設計",IF('作業計画'!O39="","",'作業計画'!O39),"")</x:f>
        <x:v>46351</x:v>
      </x:c>
      <x:c r="I39" s="306" t="n">
        <x:f>IF('作業計画'!$H39="設計",IF('作業計画'!P39="","",'作業計画'!P39),"")</x:f>
        <x:v>46353</x:v>
      </x:c>
      <x:c r="J39" s="306" t="str">
        <x:f>IF('作業計画'!$H39="設計",IF('作業計画'!Q39="","",'作業計画'!Q39),"")</x:f>
      </x:c>
      <x:c r="K39" s="306" t="str">
        <x:f>IF('作業計画'!$H39="設計",IF('作業計画'!R39="","",'作業計画'!R39),"")</x:f>
      </x:c>
      <x:c r="L39" s="307" t="n">
        <x:f>IF('作業計画'!$H39="設計",'作業計画'!U39,"")</x:f>
        <x:v>0</x:v>
      </x:c>
      <x:c r="M39" s="291" t="str">
        <x:f>IF('作業計画'!$H39="設計",'作業計画'!V39,"")</x:f>
        <x:v>予定前</x:v>
      </x:c>
      <x:c r="N39" s="306" t="str">
        <x:f>IF('作業計画'!$H39="開発",IF('作業計画'!O39="","",'作業計画'!O39),"")</x:f>
      </x:c>
      <x:c r="O39" s="306" t="str">
        <x:f>IF('作業計画'!$H39="開発",IF('作業計画'!P39="","",'作業計画'!P39),"")</x:f>
      </x:c>
      <x:c r="P39" s="306" t="str">
        <x:f>IF('作業計画'!$H39="開発",IF('作業計画'!Q39="","",'作業計画'!Q39),"")</x:f>
      </x:c>
      <x:c r="Q39" s="306" t="str">
        <x:f>IF('作業計画'!$H39="開発",IF('作業計画'!R39="","",'作業計画'!R39),"")</x:f>
      </x:c>
      <x:c r="R39" s="291" t="str">
        <x:f>IF('作業計画'!$H39="開発",'作業計画'!S39,"")</x:f>
      </x:c>
      <x:c r="S39" s="291" t="str">
        <x:f>IF('作業計画'!$H39="開発",'作業計画'!T39,"")</x:f>
      </x:c>
      <x:c r="T39" s="307" t="str">
        <x:f>IF('作業計画'!$H39="開発",'作業計画'!U39,"")</x:f>
      </x:c>
      <x:c r="U39" s="291" t="str">
        <x:f>IF('作業計画'!$H39="開発",'作業計画'!V39,"")</x:f>
      </x:c>
      <x:c r="V39" s="306" t="str">
        <x:f>IF('作業計画'!$H39="テスト",IF('作業計画'!O39="","",'作業計画'!O39),"")</x:f>
      </x:c>
      <x:c r="W39" s="306" t="str">
        <x:f>IF('作業計画'!$H39="テスト",IF('作業計画'!P39="","",'作業計画'!P39),"")</x:f>
      </x:c>
      <x:c r="X39" s="306" t="str">
        <x:f>IF('作業計画'!$H39="テスト",IF('作業計画'!Q39="","",'作業計画'!Q39),"")</x:f>
      </x:c>
      <x:c r="Y39" s="306" t="str">
        <x:f>IF('作業計画'!$H39="テスト",IF('作業計画'!R39="","",'作業計画'!R39),"")</x:f>
      </x:c>
      <x:c r="Z39" s="291" t="str">
        <x:f>IF('作業計画'!$H39="テスト",'作業計画'!S39,"")</x:f>
      </x:c>
      <x:c r="AA39" s="291" t="str">
        <x:f>IF('作業計画'!$H39="テスト",'作業計画'!T39,"")</x:f>
      </x:c>
      <x:c r="AB39" s="307" t="str">
        <x:f>IF('作業計画'!$H39="テスト",'作業計画'!U39,"")</x:f>
      </x:c>
      <x:c r="AC39" s="291" t="str">
        <x:f>IF('作業計画'!$H39="テスト",'作業計画'!V39,"")</x:f>
      </x:c>
      <x:c r="AD39" s="306" t="n">
        <x:f>IF('作業計画'!O39="","",'作業計画'!O39)</x:f>
        <x:v>46351</x:v>
      </x:c>
      <x:c r="AE39" s="306" t="n">
        <x:f>IF('作業計画'!P39="","",'作業計画'!P39)</x:f>
        <x:v>46353</x:v>
      </x:c>
      <x:c r="AF39" s="306" t="str">
        <x:f>IF('作業計画'!Q39="","",'作業計画'!Q39)</x:f>
      </x:c>
      <x:c r="AG39" s="306" t="str">
        <x:f>IF('作業計画'!R39="","",'作業計画'!R39)</x:f>
      </x:c>
      <x:c r="AH39" s="291" t="n">
        <x:f>'作業計画'!S39</x:f>
        <x:v>1</x:v>
      </x:c>
      <x:c r="AI39" s="291" t="n">
        <x:f>'作業計画'!T39</x:f>
        <x:v>0</x:v>
      </x:c>
      <x:c r="AJ39" s="307" t="n">
        <x:f>'作業計画'!U39</x:f>
        <x:v>0</x:v>
      </x:c>
      <x:c r="AK39" s="291" t="str">
        <x:f>'作業計画'!V39</x:f>
        <x:v>予定前</x:v>
      </x:c>
      <x:c r="AL39" s="291" t="str">
        <x:f>'作業計画'!W39</x:f>
        <x:v>26</x:v>
      </x:c>
      <x:c r="AM39" s="291" t="str">
        <x:f>'作業計画'!J39&amp;IF('作業計画'!K39="",""," / "&amp;'作業計画'!K39)&amp;IF('作業計画'!L39="",""," / "&amp;'作業計画'!L39)</x:f>
        <x:v>00020 / 00027 / 00031</x:v>
      </x:c>
      <x:c r="AN39" s="253" t="str">
        <x:f>'作業計画'!Y39</x:f>
        <x:v>マッピング・変換・結合・更新・異常時処理・テスト観点の設計</x:v>
      </x:c>
      <x:c r="AO39" s="253" t="str">
        <x:f>IF('作業計画'!Z39="","",'作業計画'!Z39)</x:f>
        <x:v>依存関係は計画上の仮置き。実際の参照関係で見直す。</x:v>
      </x:c>
      <x:c r="AP39" s="254" t="str">
        <x:f>'作業計画'!X39</x:f>
        <x:v>原資料展開</x:v>
      </x:c>
    </x:row>
    <x:row r="40" ht="54" customHeight="1">
      <x:c r="A40" s="457" t="str">
        <x:f>'作業計画'!A40</x:f>
        <x:v>00034</x:v>
      </x:c>
      <x:c r="B40" s="322" t="str">
        <x:f>'作業計画'!B40</x:f>
        <x:v>02.要件・設計</x:v>
      </x:c>
      <x:c r="C40" s="250" t="str">
        <x:f>'作業計画'!C40</x:f>
        <x:v>Account：基本設計・詳細設計</x:v>
      </x:c>
      <x:c r="D40" s="250" t="str">
        <x:f>'作業計画'!D40</x:f>
        <x:v>設計担当（要確定）</x:v>
      </x:c>
      <x:c r="E40" s="250" t="str">
        <x:f>'作業計画'!E40</x:f>
        <x:v>Fabric</x:v>
      </x:c>
      <x:c r="F40" s="289" t="str">
        <x:f>'作業計画'!F40</x:f>
        <x:v>1.高</x:v>
      </x:c>
      <x:c r="G40" s="289" t="str">
        <x:f>'作業計画'!G40</x:f>
        <x:v>00.未確認</x:v>
      </x:c>
      <x:c r="H40" s="304" t="n">
        <x:f>IF('作業計画'!$H40="設計",IF('作業計画'!O40="","",'作業計画'!O40),"")</x:f>
        <x:v>46351</x:v>
      </x:c>
      <x:c r="I40" s="304" t="n">
        <x:f>IF('作業計画'!$H40="設計",IF('作業計画'!P40="","",'作業計画'!P40),"")</x:f>
        <x:v>46353</x:v>
      </x:c>
      <x:c r="J40" s="304" t="str">
        <x:f>IF('作業計画'!$H40="設計",IF('作業計画'!Q40="","",'作業計画'!Q40),"")</x:f>
      </x:c>
      <x:c r="K40" s="304" t="str">
        <x:f>IF('作業計画'!$H40="設計",IF('作業計画'!R40="","",'作業計画'!R40),"")</x:f>
      </x:c>
      <x:c r="L40" s="305" t="n">
        <x:f>IF('作業計画'!$H40="設計",'作業計画'!U40,"")</x:f>
        <x:v>0</x:v>
      </x:c>
      <x:c r="M40" s="289" t="str">
        <x:f>IF('作業計画'!$H40="設計",'作業計画'!V40,"")</x:f>
        <x:v>予定前</x:v>
      </x:c>
      <x:c r="N40" s="304" t="str">
        <x:f>IF('作業計画'!$H40="開発",IF('作業計画'!O40="","",'作業計画'!O40),"")</x:f>
      </x:c>
      <x:c r="O40" s="304" t="str">
        <x:f>IF('作業計画'!$H40="開発",IF('作業計画'!P40="","",'作業計画'!P40),"")</x:f>
      </x:c>
      <x:c r="P40" s="304" t="str">
        <x:f>IF('作業計画'!$H40="開発",IF('作業計画'!Q40="","",'作業計画'!Q40),"")</x:f>
      </x:c>
      <x:c r="Q40" s="304" t="str">
        <x:f>IF('作業計画'!$H40="開発",IF('作業計画'!R40="","",'作業計画'!R40),"")</x:f>
      </x:c>
      <x:c r="R40" s="289" t="str">
        <x:f>IF('作業計画'!$H40="開発",'作業計画'!S40,"")</x:f>
      </x:c>
      <x:c r="S40" s="289" t="str">
        <x:f>IF('作業計画'!$H40="開発",'作業計画'!T40,"")</x:f>
      </x:c>
      <x:c r="T40" s="305" t="str">
        <x:f>IF('作業計画'!$H40="開発",'作業計画'!U40,"")</x:f>
      </x:c>
      <x:c r="U40" s="289" t="str">
        <x:f>IF('作業計画'!$H40="開発",'作業計画'!V40,"")</x:f>
      </x:c>
      <x:c r="V40" s="304" t="str">
        <x:f>IF('作業計画'!$H40="テスト",IF('作業計画'!O40="","",'作業計画'!O40),"")</x:f>
      </x:c>
      <x:c r="W40" s="304" t="str">
        <x:f>IF('作業計画'!$H40="テスト",IF('作業計画'!P40="","",'作業計画'!P40),"")</x:f>
      </x:c>
      <x:c r="X40" s="304" t="str">
        <x:f>IF('作業計画'!$H40="テスト",IF('作業計画'!Q40="","",'作業計画'!Q40),"")</x:f>
      </x:c>
      <x:c r="Y40" s="304" t="str">
        <x:f>IF('作業計画'!$H40="テスト",IF('作業計画'!R40="","",'作業計画'!R40),"")</x:f>
      </x:c>
      <x:c r="Z40" s="289" t="str">
        <x:f>IF('作業計画'!$H40="テスト",'作業計画'!S40,"")</x:f>
      </x:c>
      <x:c r="AA40" s="289" t="str">
        <x:f>IF('作業計画'!$H40="テスト",'作業計画'!T40,"")</x:f>
      </x:c>
      <x:c r="AB40" s="305" t="str">
        <x:f>IF('作業計画'!$H40="テスト",'作業計画'!U40,"")</x:f>
      </x:c>
      <x:c r="AC40" s="289" t="str">
        <x:f>IF('作業計画'!$H40="テスト",'作業計画'!V40,"")</x:f>
      </x:c>
      <x:c r="AD40" s="304" t="n">
        <x:f>IF('作業計画'!O40="","",'作業計画'!O40)</x:f>
        <x:v>46351</x:v>
      </x:c>
      <x:c r="AE40" s="304" t="n">
        <x:f>IF('作業計画'!P40="","",'作業計画'!P40)</x:f>
        <x:v>46353</x:v>
      </x:c>
      <x:c r="AF40" s="304" t="str">
        <x:f>IF('作業計画'!Q40="","",'作業計画'!Q40)</x:f>
      </x:c>
      <x:c r="AG40" s="304" t="str">
        <x:f>IF('作業計画'!R40="","",'作業計画'!R40)</x:f>
      </x:c>
      <x:c r="AH40" s="289" t="n">
        <x:f>'作業計画'!S40</x:f>
        <x:v>1</x:v>
      </x:c>
      <x:c r="AI40" s="289" t="n">
        <x:f>'作業計画'!T40</x:f>
        <x:v>0</x:v>
      </x:c>
      <x:c r="AJ40" s="305" t="n">
        <x:f>'作業計画'!U40</x:f>
        <x:v>0</x:v>
      </x:c>
      <x:c r="AK40" s="289" t="str">
        <x:f>'作業計画'!V40</x:f>
        <x:v>予定前</x:v>
      </x:c>
      <x:c r="AL40" s="289" t="str">
        <x:f>'作業計画'!W40</x:f>
        <x:v>27</x:v>
      </x:c>
      <x:c r="AM40" s="289" t="str">
        <x:f>'作業計画'!J40&amp;IF('作業計画'!K40="",""," / "&amp;'作業計画'!K40)&amp;IF('作業計画'!L40="",""," / "&amp;'作業計画'!L40)</x:f>
        <x:v>00021 / 00026 / 00031</x:v>
      </x:c>
      <x:c r="AN40" s="250" t="str">
        <x:f>'作業計画'!Y40</x:f>
        <x:v>マッピング・変換・結合・更新・異常時処理・テスト観点の設計</x:v>
      </x:c>
      <x:c r="AO40" s="250" t="str">
        <x:f>IF('作業計画'!Z40="","",'作業計画'!Z40)</x:f>
        <x:v>依存関係は計画上の仮置き。実際の参照関係で見直す。</x:v>
      </x:c>
      <x:c r="AP40" s="251" t="str">
        <x:f>'作業計画'!X40</x:f>
        <x:v>原資料展開</x:v>
      </x:c>
    </x:row>
    <x:row r="41" ht="54" customHeight="1">
      <x:c r="A41" s="458" t="str">
        <x:f>'作業計画'!A41</x:f>
        <x:v>00035</x:v>
      </x:c>
      <x:c r="B41" s="322" t="str">
        <x:f>'作業計画'!B41</x:f>
        <x:v>02.要件・設計</x:v>
      </x:c>
      <x:c r="C41" s="253" t="str">
        <x:f>'作業計画'!C41</x:f>
        <x:v>AccountContact：基本設計・詳細設計</x:v>
      </x:c>
      <x:c r="D41" s="253" t="str">
        <x:f>'作業計画'!D41</x:f>
        <x:v>設計担当（要確定）</x:v>
      </x:c>
      <x:c r="E41" s="253" t="str">
        <x:f>'作業計画'!E41</x:f>
        <x:v>Fabric</x:v>
      </x:c>
      <x:c r="F41" s="291" t="str">
        <x:f>'作業計画'!F41</x:f>
        <x:v>1.高</x:v>
      </x:c>
      <x:c r="G41" s="291" t="str">
        <x:f>'作業計画'!G41</x:f>
        <x:v>00.未確認</x:v>
      </x:c>
      <x:c r="H41" s="306" t="n">
        <x:f>IF('作業計画'!$H41="設計",IF('作業計画'!O41="","",'作業計画'!O41),"")</x:f>
        <x:v>46356</x:v>
      </x:c>
      <x:c r="I41" s="306" t="n">
        <x:f>IF('作業計画'!$H41="設計",IF('作業計画'!P41="","",'作業計画'!P41),"")</x:f>
        <x:v>46358</x:v>
      </x:c>
      <x:c r="J41" s="306" t="str">
        <x:f>IF('作業計画'!$H41="設計",IF('作業計画'!Q41="","",'作業計画'!Q41),"")</x:f>
      </x:c>
      <x:c r="K41" s="306" t="str">
        <x:f>IF('作業計画'!$H41="設計",IF('作業計画'!R41="","",'作業計画'!R41),"")</x:f>
      </x:c>
      <x:c r="L41" s="307" t="n">
        <x:f>IF('作業計画'!$H41="設計",'作業計画'!U41,"")</x:f>
        <x:v>0</x:v>
      </x:c>
      <x:c r="M41" s="291" t="str">
        <x:f>IF('作業計画'!$H41="設計",'作業計画'!V41,"")</x:f>
        <x:v>予定前</x:v>
      </x:c>
      <x:c r="N41" s="306" t="str">
        <x:f>IF('作業計画'!$H41="開発",IF('作業計画'!O41="","",'作業計画'!O41),"")</x:f>
      </x:c>
      <x:c r="O41" s="306" t="str">
        <x:f>IF('作業計画'!$H41="開発",IF('作業計画'!P41="","",'作業計画'!P41),"")</x:f>
      </x:c>
      <x:c r="P41" s="306" t="str">
        <x:f>IF('作業計画'!$H41="開発",IF('作業計画'!Q41="","",'作業計画'!Q41),"")</x:f>
      </x:c>
      <x:c r="Q41" s="306" t="str">
        <x:f>IF('作業計画'!$H41="開発",IF('作業計画'!R41="","",'作業計画'!R41),"")</x:f>
      </x:c>
      <x:c r="R41" s="291" t="str">
        <x:f>IF('作業計画'!$H41="開発",'作業計画'!S41,"")</x:f>
      </x:c>
      <x:c r="S41" s="291" t="str">
        <x:f>IF('作業計画'!$H41="開発",'作業計画'!T41,"")</x:f>
      </x:c>
      <x:c r="T41" s="307" t="str">
        <x:f>IF('作業計画'!$H41="開発",'作業計画'!U41,"")</x:f>
      </x:c>
      <x:c r="U41" s="291" t="str">
        <x:f>IF('作業計画'!$H41="開発",'作業計画'!V41,"")</x:f>
      </x:c>
      <x:c r="V41" s="306" t="str">
        <x:f>IF('作業計画'!$H41="テスト",IF('作業計画'!O41="","",'作業計画'!O41),"")</x:f>
      </x:c>
      <x:c r="W41" s="306" t="str">
        <x:f>IF('作業計画'!$H41="テスト",IF('作業計画'!P41="","",'作業計画'!P41),"")</x:f>
      </x:c>
      <x:c r="X41" s="306" t="str">
        <x:f>IF('作業計画'!$H41="テスト",IF('作業計画'!Q41="","",'作業計画'!Q41),"")</x:f>
      </x:c>
      <x:c r="Y41" s="306" t="str">
        <x:f>IF('作業計画'!$H41="テスト",IF('作業計画'!R41="","",'作業計画'!R41),"")</x:f>
      </x:c>
      <x:c r="Z41" s="291" t="str">
        <x:f>IF('作業計画'!$H41="テスト",'作業計画'!S41,"")</x:f>
      </x:c>
      <x:c r="AA41" s="291" t="str">
        <x:f>IF('作業計画'!$H41="テスト",'作業計画'!T41,"")</x:f>
      </x:c>
      <x:c r="AB41" s="307" t="str">
        <x:f>IF('作業計画'!$H41="テスト",'作業計画'!U41,"")</x:f>
      </x:c>
      <x:c r="AC41" s="291" t="str">
        <x:f>IF('作業計画'!$H41="テスト",'作業計画'!V41,"")</x:f>
      </x:c>
      <x:c r="AD41" s="306" t="n">
        <x:f>IF('作業計画'!O41="","",'作業計画'!O41)</x:f>
        <x:v>46356</x:v>
      </x:c>
      <x:c r="AE41" s="306" t="n">
        <x:f>IF('作業計画'!P41="","",'作業計画'!P41)</x:f>
        <x:v>46358</x:v>
      </x:c>
      <x:c r="AF41" s="306" t="str">
        <x:f>IF('作業計画'!Q41="","",'作業計画'!Q41)</x:f>
      </x:c>
      <x:c r="AG41" s="306" t="str">
        <x:f>IF('作業計画'!R41="","",'作業計画'!R41)</x:f>
      </x:c>
      <x:c r="AH41" s="291" t="n">
        <x:f>'作業計画'!S41</x:f>
        <x:v>1</x:v>
      </x:c>
      <x:c r="AI41" s="291" t="n">
        <x:f>'作業計画'!T41</x:f>
        <x:v>0</x:v>
      </x:c>
      <x:c r="AJ41" s="307" t="n">
        <x:f>'作業計画'!U41</x:f>
        <x:v>0</x:v>
      </x:c>
      <x:c r="AK41" s="291" t="str">
        <x:f>'作業計画'!V41</x:f>
        <x:v>予定前</x:v>
      </x:c>
      <x:c r="AL41" s="291" t="str">
        <x:f>'作業計画'!W41</x:f>
        <x:v>28</x:v>
      </x:c>
      <x:c r="AM41" s="291" t="str">
        <x:f>'作業計画'!J41&amp;IF('作業計画'!K41="",""," / "&amp;'作業計画'!K41)&amp;IF('作業計画'!L41="",""," / "&amp;'作業計画'!L41)</x:f>
        <x:v>00022 / 00033 / 00034</x:v>
      </x:c>
      <x:c r="AN41" s="253" t="str">
        <x:f>'作業計画'!Y41</x:f>
        <x:v>マッピング・変換・結合・更新・異常時処理・テスト観点の設計</x:v>
      </x:c>
      <x:c r="AO41" s="253" t="str">
        <x:f>IF('作業計画'!Z41="","",'作業計画'!Z41)</x:f>
        <x:v>依存関係は計画上の仮置き。実際の参照関係で見直す。</x:v>
      </x:c>
      <x:c r="AP41" s="254" t="str">
        <x:f>'作業計画'!X41</x:f>
        <x:v>原資料展開</x:v>
      </x:c>
    </x:row>
    <x:row r="42" ht="54" customHeight="1">
      <x:c r="A42" s="457" t="str">
        <x:f>'作業計画'!A42</x:f>
        <x:v>00036</x:v>
      </x:c>
      <x:c r="B42" s="322" t="str">
        <x:f>'作業計画'!B42</x:f>
        <x:v>02.要件・設計</x:v>
      </x:c>
      <x:c r="C42" s="250" t="str">
        <x:f>'作業計画'!C42</x:f>
        <x:v>SalesRepHospital：基本設計・詳細設計</x:v>
      </x:c>
      <x:c r="D42" s="250" t="str">
        <x:f>'作業計画'!D42</x:f>
        <x:v>設計担当（要確定）</x:v>
      </x:c>
      <x:c r="E42" s="250" t="str">
        <x:f>'作業計画'!E42</x:f>
        <x:v>Fabric</x:v>
      </x:c>
      <x:c r="F42" s="289" t="str">
        <x:f>'作業計画'!F42</x:f>
        <x:v>1.高</x:v>
      </x:c>
      <x:c r="G42" s="289" t="str">
        <x:f>'作業計画'!G42</x:f>
        <x:v>00.未確認</x:v>
      </x:c>
      <x:c r="H42" s="304" t="n">
        <x:f>IF('作業計画'!$H42="設計",IF('作業計画'!O42="","",'作業計画'!O42),"")</x:f>
        <x:v>46359</x:v>
      </x:c>
      <x:c r="I42" s="304" t="n">
        <x:f>IF('作業計画'!$H42="設計",IF('作業計画'!P42="","",'作業計画'!P42),"")</x:f>
        <x:v>46363</x:v>
      </x:c>
      <x:c r="J42" s="304" t="str">
        <x:f>IF('作業計画'!$H42="設計",IF('作業計画'!Q42="","",'作業計画'!Q42),"")</x:f>
      </x:c>
      <x:c r="K42" s="304" t="str">
        <x:f>IF('作業計画'!$H42="設計",IF('作業計画'!R42="","",'作業計画'!R42),"")</x:f>
      </x:c>
      <x:c r="L42" s="305" t="n">
        <x:f>IF('作業計画'!$H42="設計",'作業計画'!U42,"")</x:f>
        <x:v>0</x:v>
      </x:c>
      <x:c r="M42" s="289" t="str">
        <x:f>IF('作業計画'!$H42="設計",'作業計画'!V42,"")</x:f>
        <x:v>予定前</x:v>
      </x:c>
      <x:c r="N42" s="304" t="str">
        <x:f>IF('作業計画'!$H42="開発",IF('作業計画'!O42="","",'作業計画'!O42),"")</x:f>
      </x:c>
      <x:c r="O42" s="304" t="str">
        <x:f>IF('作業計画'!$H42="開発",IF('作業計画'!P42="","",'作業計画'!P42),"")</x:f>
      </x:c>
      <x:c r="P42" s="304" t="str">
        <x:f>IF('作業計画'!$H42="開発",IF('作業計画'!Q42="","",'作業計画'!Q42),"")</x:f>
      </x:c>
      <x:c r="Q42" s="304" t="str">
        <x:f>IF('作業計画'!$H42="開発",IF('作業計画'!R42="","",'作業計画'!R42),"")</x:f>
      </x:c>
      <x:c r="R42" s="289" t="str">
        <x:f>IF('作業計画'!$H42="開発",'作業計画'!S42,"")</x:f>
      </x:c>
      <x:c r="S42" s="289" t="str">
        <x:f>IF('作業計画'!$H42="開発",'作業計画'!T42,"")</x:f>
      </x:c>
      <x:c r="T42" s="305" t="str">
        <x:f>IF('作業計画'!$H42="開発",'作業計画'!U42,"")</x:f>
      </x:c>
      <x:c r="U42" s="289" t="str">
        <x:f>IF('作業計画'!$H42="開発",'作業計画'!V42,"")</x:f>
      </x:c>
      <x:c r="V42" s="304" t="str">
        <x:f>IF('作業計画'!$H42="テスト",IF('作業計画'!O42="","",'作業計画'!O42),"")</x:f>
      </x:c>
      <x:c r="W42" s="304" t="str">
        <x:f>IF('作業計画'!$H42="テスト",IF('作業計画'!P42="","",'作業計画'!P42),"")</x:f>
      </x:c>
      <x:c r="X42" s="304" t="str">
        <x:f>IF('作業計画'!$H42="テスト",IF('作業計画'!Q42="","",'作業計画'!Q42),"")</x:f>
      </x:c>
      <x:c r="Y42" s="304" t="str">
        <x:f>IF('作業計画'!$H42="テスト",IF('作業計画'!R42="","",'作業計画'!R42),"")</x:f>
      </x:c>
      <x:c r="Z42" s="289" t="str">
        <x:f>IF('作業計画'!$H42="テスト",'作業計画'!S42,"")</x:f>
      </x:c>
      <x:c r="AA42" s="289" t="str">
        <x:f>IF('作業計画'!$H42="テスト",'作業計画'!T42,"")</x:f>
      </x:c>
      <x:c r="AB42" s="305" t="str">
        <x:f>IF('作業計画'!$H42="テスト",'作業計画'!U42,"")</x:f>
      </x:c>
      <x:c r="AC42" s="289" t="str">
        <x:f>IF('作業計画'!$H42="テスト",'作業計画'!V42,"")</x:f>
      </x:c>
      <x:c r="AD42" s="304" t="n">
        <x:f>IF('作業計画'!O42="","",'作業計画'!O42)</x:f>
        <x:v>46359</x:v>
      </x:c>
      <x:c r="AE42" s="304" t="n">
        <x:f>IF('作業計画'!P42="","",'作業計画'!P42)</x:f>
        <x:v>46363</x:v>
      </x:c>
      <x:c r="AF42" s="304" t="str">
        <x:f>IF('作業計画'!Q42="","",'作業計画'!Q42)</x:f>
      </x:c>
      <x:c r="AG42" s="304" t="str">
        <x:f>IF('作業計画'!R42="","",'作業計画'!R42)</x:f>
      </x:c>
      <x:c r="AH42" s="289" t="n">
        <x:f>'作業計画'!S42</x:f>
        <x:v>1</x:v>
      </x:c>
      <x:c r="AI42" s="289" t="n">
        <x:f>'作業計画'!T42</x:f>
        <x:v>0</x:v>
      </x:c>
      <x:c r="AJ42" s="305" t="n">
        <x:f>'作業計画'!U42</x:f>
        <x:v>0</x:v>
      </x:c>
      <x:c r="AK42" s="289" t="str">
        <x:f>'作業計画'!V42</x:f>
        <x:v>予定前</x:v>
      </x:c>
      <x:c r="AL42" s="289" t="str">
        <x:f>'作業計画'!W42</x:f>
        <x:v>29</x:v>
      </x:c>
      <x:c r="AM42" s="289" t="str">
        <x:f>'作業計画'!J42&amp;IF('作業計画'!K42="",""," / "&amp;'作業計画'!K42)&amp;IF('作業計画'!L42="",""," / "&amp;'作業計画'!L42)</x:f>
        <x:v>00023 / 00032 / 00035</x:v>
      </x:c>
      <x:c r="AN42" s="250" t="str">
        <x:f>'作業計画'!Y42</x:f>
        <x:v>マッピング・変換・結合・更新・異常時処理・テスト観点の設計</x:v>
      </x:c>
      <x:c r="AO42" s="250" t="str">
        <x:f>IF('作業計画'!Z42="","",'作業計画'!Z42)</x:f>
        <x:v>依存関係は計画上の仮置き。実際の参照関係で見直す。</x:v>
      </x:c>
      <x:c r="AP42" s="251" t="str">
        <x:f>'作業計画'!X42</x:f>
        <x:v>原資料展開</x:v>
      </x:c>
    </x:row>
    <x:row r="43" ht="54" customHeight="1">
      <x:c r="A43" s="458" t="str">
        <x:f>'作業計画'!A43</x:f>
        <x:v>00037</x:v>
      </x:c>
      <x:c r="B43" s="330" t="str">
        <x:f>'作業計画'!B43</x:f>
        <x:v>04.開発</x:v>
      </x:c>
      <x:c r="C43" s="253" t="str">
        <x:f>'作業計画'!C43</x:f>
        <x:v>QAワークスペース作成・権限付与</x:v>
      </x:c>
      <x:c r="D43" s="253" t="str">
        <x:f>'作業計画'!D43</x:f>
        <x:v>基盤担当（要確定）</x:v>
      </x:c>
      <x:c r="E43" s="253" t="str">
        <x:f>'作業計画'!E43</x:f>
        <x:v>Fabric</x:v>
      </x:c>
      <x:c r="F43" s="291" t="str">
        <x:f>'作業計画'!F43</x:f>
        <x:v>2.中</x:v>
      </x:c>
      <x:c r="G43" s="291" t="str">
        <x:f>'作業計画'!G43</x:f>
        <x:v>00.未確認</x:v>
      </x:c>
      <x:c r="H43" s="306" t="str">
        <x:f>IF('作業計画'!$H43="設計",IF('作業計画'!O43="","",'作業計画'!O43),"")</x:f>
      </x:c>
      <x:c r="I43" s="306" t="str">
        <x:f>IF('作業計画'!$H43="設計",IF('作業計画'!P43="","",'作業計画'!P43),"")</x:f>
      </x:c>
      <x:c r="J43" s="306" t="str">
        <x:f>IF('作業計画'!$H43="設計",IF('作業計画'!Q43="","",'作業計画'!Q43),"")</x:f>
      </x:c>
      <x:c r="K43" s="306" t="str">
        <x:f>IF('作業計画'!$H43="設計",IF('作業計画'!R43="","",'作業計画'!R43),"")</x:f>
      </x:c>
      <x:c r="L43" s="307" t="str">
        <x:f>IF('作業計画'!$H43="設計",'作業計画'!U43,"")</x:f>
      </x:c>
      <x:c r="M43" s="291" t="str">
        <x:f>IF('作業計画'!$H43="設計",'作業計画'!V43,"")</x:f>
      </x:c>
      <x:c r="N43" s="306" t="n">
        <x:f>IF('作業計画'!$H43="開発",IF('作業計画'!O43="","",'作業計画'!O43),"")</x:f>
        <x:v>46342</x:v>
      </x:c>
      <x:c r="O43" s="306" t="n">
        <x:f>IF('作業計画'!$H43="開発",IF('作業計画'!P43="","",'作業計画'!P43),"")</x:f>
        <x:v>46343</x:v>
      </x:c>
      <x:c r="P43" s="306" t="str">
        <x:f>IF('作業計画'!$H43="開発",IF('作業計画'!Q43="","",'作業計画'!Q43),"")</x:f>
      </x:c>
      <x:c r="Q43" s="306" t="str">
        <x:f>IF('作業計画'!$H43="開発",IF('作業計画'!R43="","",'作業計画'!R43),"")</x:f>
      </x:c>
      <x:c r="R43" s="291" t="n">
        <x:f>IF('作業計画'!$H43="開発",'作業計画'!S43,"")</x:f>
        <x:v>1</x:v>
      </x:c>
      <x:c r="S43" s="291" t="n">
        <x:f>IF('作業計画'!$H43="開発",'作業計画'!T43,"")</x:f>
        <x:v>0</x:v>
      </x:c>
      <x:c r="T43" s="307" t="n">
        <x:f>IF('作業計画'!$H43="開発",'作業計画'!U43,"")</x:f>
        <x:v>0</x:v>
      </x:c>
      <x:c r="U43" s="291" t="str">
        <x:f>IF('作業計画'!$H43="開発",'作業計画'!V43,"")</x:f>
        <x:v>予定前</x:v>
      </x:c>
      <x:c r="V43" s="306" t="str">
        <x:f>IF('作業計画'!$H43="テスト",IF('作業計画'!O43="","",'作業計画'!O43),"")</x:f>
      </x:c>
      <x:c r="W43" s="306" t="str">
        <x:f>IF('作業計画'!$H43="テスト",IF('作業計画'!P43="","",'作業計画'!P43),"")</x:f>
      </x:c>
      <x:c r="X43" s="306" t="str">
        <x:f>IF('作業計画'!$H43="テスト",IF('作業計画'!Q43="","",'作業計画'!Q43),"")</x:f>
      </x:c>
      <x:c r="Y43" s="306" t="str">
        <x:f>IF('作業計画'!$H43="テスト",IF('作業計画'!R43="","",'作業計画'!R43),"")</x:f>
      </x:c>
      <x:c r="Z43" s="291" t="str">
        <x:f>IF('作業計画'!$H43="テスト",'作業計画'!S43,"")</x:f>
      </x:c>
      <x:c r="AA43" s="291" t="str">
        <x:f>IF('作業計画'!$H43="テスト",'作業計画'!T43,"")</x:f>
      </x:c>
      <x:c r="AB43" s="307" t="str">
        <x:f>IF('作業計画'!$H43="テスト",'作業計画'!U43,"")</x:f>
      </x:c>
      <x:c r="AC43" s="291" t="str">
        <x:f>IF('作業計画'!$H43="テスト",'作業計画'!V43,"")</x:f>
      </x:c>
      <x:c r="AD43" s="306" t="n">
        <x:f>IF('作業計画'!O43="","",'作業計画'!O43)</x:f>
        <x:v>46342</x:v>
      </x:c>
      <x:c r="AE43" s="306" t="n">
        <x:f>IF('作業計画'!P43="","",'作業計画'!P43)</x:f>
        <x:v>46343</x:v>
      </x:c>
      <x:c r="AF43" s="306" t="str">
        <x:f>IF('作業計画'!Q43="","",'作業計画'!Q43)</x:f>
      </x:c>
      <x:c r="AG43" s="306" t="str">
        <x:f>IF('作業計画'!R43="","",'作業計画'!R43)</x:f>
      </x:c>
      <x:c r="AH43" s="291" t="n">
        <x:f>'作業計画'!S43</x:f>
        <x:v>1</x:v>
      </x:c>
      <x:c r="AI43" s="291" t="n">
        <x:f>'作業計画'!T43</x:f>
        <x:v>0</x:v>
      </x:c>
      <x:c r="AJ43" s="307" t="n">
        <x:f>'作業計画'!U43</x:f>
        <x:v>0</x:v>
      </x:c>
      <x:c r="AK43" s="291" t="str">
        <x:f>'作業計画'!V43</x:f>
        <x:v>予定前</x:v>
      </x:c>
      <x:c r="AL43" s="291" t="str">
        <x:f>'作業計画'!W43</x:f>
        <x:v>30</x:v>
      </x:c>
      <x:c r="AM43" s="291" t="str">
        <x:f>'作業計画'!J43&amp;IF('作業計画'!K43="",""," / "&amp;'作業計画'!K43)&amp;IF('作業計画'!L43="",""," / "&amp;'作業計画'!L43)</x:f>
        <x:v>00024</x:v>
      </x:c>
      <x:c r="AN43" s="253" t="str">
        <x:f>'作業計画'!Y43</x:f>
        <x:v>QA環境とテスト実行権限</x:v>
      </x:c>
      <x:c r="AO43" s="253" t="str">
        <x:f>IF('作業計画'!Z43="","",'作業計画'!Z43)</x:f>
      </x:c>
      <x:c r="AP43" s="254" t="str">
        <x:f>'作業計画'!X43</x:f>
        <x:v>原資料展開</x:v>
      </x:c>
    </x:row>
    <x:row r="44" ht="54" customHeight="1">
      <x:c r="A44" s="457" t="str">
        <x:f>'作業計画'!A44</x:f>
        <x:v>00038</x:v>
      </x:c>
      <x:c r="B44" s="330" t="str">
        <x:f>'作業計画'!B44</x:f>
        <x:v>04.開発</x:v>
      </x:c>
      <x:c r="C44" s="250" t="str">
        <x:f>'作業計画'!C44</x:f>
        <x:v>PRODワークスペース作成・権限付与</x:v>
      </x:c>
      <x:c r="D44" s="250" t="str">
        <x:f>'作業計画'!D44</x:f>
        <x:v>基盤担当（要確定）</x:v>
      </x:c>
      <x:c r="E44" s="250" t="str">
        <x:f>'作業計画'!E44</x:f>
        <x:v>Fabric</x:v>
      </x:c>
      <x:c r="F44" s="289" t="str">
        <x:f>'作業計画'!F44</x:f>
        <x:v>2.中</x:v>
      </x:c>
      <x:c r="G44" s="289" t="str">
        <x:f>'作業計画'!G44</x:f>
        <x:v>00.未確認</x:v>
      </x:c>
      <x:c r="H44" s="304" t="str">
        <x:f>IF('作業計画'!$H44="設計",IF('作業計画'!O44="","",'作業計画'!O44),"")</x:f>
      </x:c>
      <x:c r="I44" s="304" t="str">
        <x:f>IF('作業計画'!$H44="設計",IF('作業計画'!P44="","",'作業計画'!P44),"")</x:f>
      </x:c>
      <x:c r="J44" s="304" t="str">
        <x:f>IF('作業計画'!$H44="設計",IF('作業計画'!Q44="","",'作業計画'!Q44),"")</x:f>
      </x:c>
      <x:c r="K44" s="304" t="str">
        <x:f>IF('作業計画'!$H44="設計",IF('作業計画'!R44="","",'作業計画'!R44),"")</x:f>
      </x:c>
      <x:c r="L44" s="305" t="str">
        <x:f>IF('作業計画'!$H44="設計",'作業計画'!U44,"")</x:f>
      </x:c>
      <x:c r="M44" s="289" t="str">
        <x:f>IF('作業計画'!$H44="設計",'作業計画'!V44,"")</x:f>
      </x:c>
      <x:c r="N44" s="304" t="n">
        <x:f>IF('作業計画'!$H44="開発",IF('作業計画'!O44="","",'作業計画'!O44),"")</x:f>
        <x:v>46344</x:v>
      </x:c>
      <x:c r="O44" s="304" t="n">
        <x:f>IF('作業計画'!$H44="開発",IF('作業計画'!P44="","",'作業計画'!P44),"")</x:f>
        <x:v>46345</x:v>
      </x:c>
      <x:c r="P44" s="304" t="str">
        <x:f>IF('作業計画'!$H44="開発",IF('作業計画'!Q44="","",'作業計画'!Q44),"")</x:f>
      </x:c>
      <x:c r="Q44" s="304" t="str">
        <x:f>IF('作業計画'!$H44="開発",IF('作業計画'!R44="","",'作業計画'!R44),"")</x:f>
      </x:c>
      <x:c r="R44" s="289" t="n">
        <x:f>IF('作業計画'!$H44="開発",'作業計画'!S44,"")</x:f>
        <x:v>1</x:v>
      </x:c>
      <x:c r="S44" s="289" t="n">
        <x:f>IF('作業計画'!$H44="開発",'作業計画'!T44,"")</x:f>
        <x:v>0</x:v>
      </x:c>
      <x:c r="T44" s="305" t="n">
        <x:f>IF('作業計画'!$H44="開発",'作業計画'!U44,"")</x:f>
        <x:v>0</x:v>
      </x:c>
      <x:c r="U44" s="289" t="str">
        <x:f>IF('作業計画'!$H44="開発",'作業計画'!V44,"")</x:f>
        <x:v>予定前</x:v>
      </x:c>
      <x:c r="V44" s="304" t="str">
        <x:f>IF('作業計画'!$H44="テスト",IF('作業計画'!O44="","",'作業計画'!O44),"")</x:f>
      </x:c>
      <x:c r="W44" s="304" t="str">
        <x:f>IF('作業計画'!$H44="テスト",IF('作業計画'!P44="","",'作業計画'!P44),"")</x:f>
      </x:c>
      <x:c r="X44" s="304" t="str">
        <x:f>IF('作業計画'!$H44="テスト",IF('作業計画'!Q44="","",'作業計画'!Q44),"")</x:f>
      </x:c>
      <x:c r="Y44" s="304" t="str">
        <x:f>IF('作業計画'!$H44="テスト",IF('作業計画'!R44="","",'作業計画'!R44),"")</x:f>
      </x:c>
      <x:c r="Z44" s="289" t="str">
        <x:f>IF('作業計画'!$H44="テスト",'作業計画'!S44,"")</x:f>
      </x:c>
      <x:c r="AA44" s="289" t="str">
        <x:f>IF('作業計画'!$H44="テスト",'作業計画'!T44,"")</x:f>
      </x:c>
      <x:c r="AB44" s="305" t="str">
        <x:f>IF('作業計画'!$H44="テスト",'作業計画'!U44,"")</x:f>
      </x:c>
      <x:c r="AC44" s="289" t="str">
        <x:f>IF('作業計画'!$H44="テスト",'作業計画'!V44,"")</x:f>
      </x:c>
      <x:c r="AD44" s="304" t="n">
        <x:f>IF('作業計画'!O44="","",'作業計画'!O44)</x:f>
        <x:v>46344</x:v>
      </x:c>
      <x:c r="AE44" s="304" t="n">
        <x:f>IF('作業計画'!P44="","",'作業計画'!P44)</x:f>
        <x:v>46345</x:v>
      </x:c>
      <x:c r="AF44" s="304" t="str">
        <x:f>IF('作業計画'!Q44="","",'作業計画'!Q44)</x:f>
      </x:c>
      <x:c r="AG44" s="304" t="str">
        <x:f>IF('作業計画'!R44="","",'作業計画'!R44)</x:f>
      </x:c>
      <x:c r="AH44" s="289" t="n">
        <x:f>'作業計画'!S44</x:f>
        <x:v>1</x:v>
      </x:c>
      <x:c r="AI44" s="289" t="n">
        <x:f>'作業計画'!T44</x:f>
        <x:v>0</x:v>
      </x:c>
      <x:c r="AJ44" s="305" t="n">
        <x:f>'作業計画'!U44</x:f>
        <x:v>0</x:v>
      </x:c>
      <x:c r="AK44" s="289" t="str">
        <x:f>'作業計画'!V44</x:f>
        <x:v>予定前</x:v>
      </x:c>
      <x:c r="AL44" s="289" t="str">
        <x:f>'作業計画'!W44</x:f>
        <x:v>30</x:v>
      </x:c>
      <x:c r="AM44" s="289" t="str">
        <x:f>'作業計画'!J44&amp;IF('作業計画'!K44="",""," / "&amp;'作業計画'!K44)&amp;IF('作業計画'!L44="",""," / "&amp;'作業計画'!L44)</x:f>
        <x:v>00037</x:v>
      </x:c>
      <x:c r="AN44" s="250" t="str">
        <x:f>'作業計画'!Y44</x:f>
        <x:v>PROD環境・権限設定</x:v>
      </x:c>
      <x:c r="AO44" s="250" t="str">
        <x:f>IF('作業計画'!Z44="","",'作業計画'!Z44)</x:f>
        <x:v>本番リリース作業は画像範囲外のため未計上。</x:v>
      </x:c>
      <x:c r="AP44" s="251" t="str">
        <x:f>'作業計画'!X44</x:f>
        <x:v>原資料展開</x:v>
      </x:c>
    </x:row>
    <x:row r="45" ht="54" customHeight="1">
      <x:c r="A45" s="458" t="str">
        <x:f>'作業計画'!A45</x:f>
        <x:v>00039</x:v>
      </x:c>
      <x:c r="B45" s="330" t="str">
        <x:f>'作業計画'!B45</x:f>
        <x:v>04.開発</x:v>
      </x:c>
      <x:c r="C45" s="253" t="str">
        <x:f>'作業計画'!C45</x:f>
        <x:v>BronzeLakehouse：追加テーブル定義</x:v>
      </x:c>
      <x:c r="D45" s="253" t="str">
        <x:f>'作業計画'!D45</x:f>
        <x:v>開発担当（要確定）</x:v>
      </x:c>
      <x:c r="E45" s="253" t="str">
        <x:f>'作業計画'!E45</x:f>
        <x:v>Japan Data Platform／Bronze</x:v>
      </x:c>
      <x:c r="F45" s="291" t="str">
        <x:f>'作業計画'!F45</x:f>
        <x:v>2.中</x:v>
      </x:c>
      <x:c r="G45" s="291" t="str">
        <x:f>'作業計画'!G45</x:f>
        <x:v>00.未確認</x:v>
      </x:c>
      <x:c r="H45" s="306" t="str">
        <x:f>IF('作業計画'!$H45="設計",IF('作業計画'!O45="","",'作業計画'!O45),"")</x:f>
      </x:c>
      <x:c r="I45" s="306" t="str">
        <x:f>IF('作業計画'!$H45="設計",IF('作業計画'!P45="","",'作業計画'!P45),"")</x:f>
      </x:c>
      <x:c r="J45" s="306" t="str">
        <x:f>IF('作業計画'!$H45="設計",IF('作業計画'!Q45="","",'作業計画'!Q45),"")</x:f>
      </x:c>
      <x:c r="K45" s="306" t="str">
        <x:f>IF('作業計画'!$H45="設計",IF('作業計画'!R45="","",'作業計画'!R45),"")</x:f>
      </x:c>
      <x:c r="L45" s="307" t="str">
        <x:f>IF('作業計画'!$H45="設計",'作業計画'!U45,"")</x:f>
      </x:c>
      <x:c r="M45" s="291" t="str">
        <x:f>IF('作業計画'!$H45="設計",'作業計画'!V45,"")</x:f>
      </x:c>
      <x:c r="N45" s="306" t="n">
        <x:f>IF('作業計画'!$H45="開発",IF('作業計画'!O45="","",'作業計画'!O45),"")</x:f>
        <x:v>46344</x:v>
      </x:c>
      <x:c r="O45" s="306" t="n">
        <x:f>IF('作業計画'!$H45="開発",IF('作業計画'!P45="","",'作業計画'!P45),"")</x:f>
        <x:v>46346</x:v>
      </x:c>
      <x:c r="P45" s="306" t="str">
        <x:f>IF('作業計画'!$H45="開発",IF('作業計画'!Q45="","",'作業計画'!Q45),"")</x:f>
      </x:c>
      <x:c r="Q45" s="306" t="str">
        <x:f>IF('作業計画'!$H45="開発",IF('作業計画'!R45="","",'作業計画'!R45),"")</x:f>
      </x:c>
      <x:c r="R45" s="291" t="n">
        <x:f>IF('作業計画'!$H45="開発",'作業計画'!S45,"")</x:f>
        <x:v>1</x:v>
      </x:c>
      <x:c r="S45" s="291" t="n">
        <x:f>IF('作業計画'!$H45="開発",'作業計画'!T45,"")</x:f>
        <x:v>0</x:v>
      </x:c>
      <x:c r="T45" s="307" t="n">
        <x:f>IF('作業計画'!$H45="開発",'作業計画'!U45,"")</x:f>
        <x:v>0</x:v>
      </x:c>
      <x:c r="U45" s="291" t="str">
        <x:f>IF('作業計画'!$H45="開発",'作業計画'!V45,"")</x:f>
        <x:v>予定前</x:v>
      </x:c>
      <x:c r="V45" s="306" t="str">
        <x:f>IF('作業計画'!$H45="テスト",IF('作業計画'!O45="","",'作業計画'!O45),"")</x:f>
      </x:c>
      <x:c r="W45" s="306" t="str">
        <x:f>IF('作業計画'!$H45="テスト",IF('作業計画'!P45="","",'作業計画'!P45),"")</x:f>
      </x:c>
      <x:c r="X45" s="306" t="str">
        <x:f>IF('作業計画'!$H45="テスト",IF('作業計画'!Q45="","",'作業計画'!Q45),"")</x:f>
      </x:c>
      <x:c r="Y45" s="306" t="str">
        <x:f>IF('作業計画'!$H45="テスト",IF('作業計画'!R45="","",'作業計画'!R45),"")</x:f>
      </x:c>
      <x:c r="Z45" s="291" t="str">
        <x:f>IF('作業計画'!$H45="テスト",'作業計画'!S45,"")</x:f>
      </x:c>
      <x:c r="AA45" s="291" t="str">
        <x:f>IF('作業計画'!$H45="テスト",'作業計画'!T45,"")</x:f>
      </x:c>
      <x:c r="AB45" s="307" t="str">
        <x:f>IF('作業計画'!$H45="テスト",'作業計画'!U45,"")</x:f>
      </x:c>
      <x:c r="AC45" s="291" t="str">
        <x:f>IF('作業計画'!$H45="テスト",'作業計画'!V45,"")</x:f>
      </x:c>
      <x:c r="AD45" s="306" t="n">
        <x:f>IF('作業計画'!O45="","",'作業計画'!O45)</x:f>
        <x:v>46344</x:v>
      </x:c>
      <x:c r="AE45" s="306" t="n">
        <x:f>IF('作業計画'!P45="","",'作業計画'!P45)</x:f>
        <x:v>46346</x:v>
      </x:c>
      <x:c r="AF45" s="306" t="str">
        <x:f>IF('作業計画'!Q45="","",'作業計画'!Q45)</x:f>
      </x:c>
      <x:c r="AG45" s="306" t="str">
        <x:f>IF('作業計画'!R45="","",'作業計画'!R45)</x:f>
      </x:c>
      <x:c r="AH45" s="291" t="n">
        <x:f>'作業計画'!S45</x:f>
        <x:v>1</x:v>
      </x:c>
      <x:c r="AI45" s="291" t="n">
        <x:f>'作業計画'!T45</x:f>
        <x:v>0</x:v>
      </x:c>
      <x:c r="AJ45" s="307" t="n">
        <x:f>'作業計画'!U45</x:f>
        <x:v>0</x:v>
      </x:c>
      <x:c r="AK45" s="291" t="str">
        <x:f>'作業計画'!V45</x:f>
        <x:v>予定前</x:v>
      </x:c>
      <x:c r="AL45" s="291" t="str">
        <x:f>'作業計画'!W45</x:f>
        <x:v>36</x:v>
      </x:c>
      <x:c r="AM45" s="291" t="str">
        <x:f>'作業計画'!J45&amp;IF('作業計画'!K45="",""," / "&amp;'作業計画'!K45)&amp;IF('作業計画'!L45="",""," / "&amp;'作業計画'!L45)</x:f>
        <x:v>00025 / 00026 / 00027</x:v>
      </x:c>
      <x:c r="AN45" s="253" t="str">
        <x:f>'作業計画'!Y45</x:f>
        <x:v>追加テーブル・列・型の定義と配置</x:v>
      </x:c>
      <x:c r="AO45" s="253" t="str">
        <x:f>IF('作業計画'!Z45="","",'作業計画'!Z45)</x:f>
        <x:v>39テーブルはAs-Is同様の場合の暫定見込み。数量・所要日数を再見積り。</x:v>
      </x:c>
      <x:c r="AP45" s="254" t="str">
        <x:f>'作業計画'!X45</x:f>
        <x:v>原資料展開</x:v>
      </x:c>
    </x:row>
    <x:row r="46" ht="54" customHeight="1">
      <x:c r="A46" s="457" t="str">
        <x:f>'作業計画'!A46</x:f>
        <x:v>00040</x:v>
      </x:c>
      <x:c r="B46" s="330" t="str">
        <x:f>'作業計画'!B46</x:f>
        <x:v>04.開発</x:v>
      </x:c>
      <x:c r="C46" s="250" t="str">
        <x:f>'作業計画'!C46</x:f>
        <x:v>BronzeDataflow：追加・差分／全件更新の実装</x:v>
      </x:c>
      <x:c r="D46" s="250" t="str">
        <x:f>'作業計画'!D46</x:f>
        <x:v>開発担当（要確定）</x:v>
      </x:c>
      <x:c r="E46" s="250" t="str">
        <x:f>'作業計画'!E46</x:f>
        <x:v>Japan Data Platform／Dataflow</x:v>
      </x:c>
      <x:c r="F46" s="289" t="str">
        <x:f>'作業計画'!F46</x:f>
        <x:v>2.中</x:v>
      </x:c>
      <x:c r="G46" s="289" t="str">
        <x:f>'作業計画'!G46</x:f>
        <x:v>00.未確認</x:v>
      </x:c>
      <x:c r="H46" s="304" t="str">
        <x:f>IF('作業計画'!$H46="設計",IF('作業計画'!O46="","",'作業計画'!O46),"")</x:f>
      </x:c>
      <x:c r="I46" s="304" t="str">
        <x:f>IF('作業計画'!$H46="設計",IF('作業計画'!P46="","",'作業計画'!P46),"")</x:f>
      </x:c>
      <x:c r="J46" s="304" t="str">
        <x:f>IF('作業計画'!$H46="設計",IF('作業計画'!Q46="","",'作業計画'!Q46),"")</x:f>
      </x:c>
      <x:c r="K46" s="304" t="str">
        <x:f>IF('作業計画'!$H46="設計",IF('作業計画'!R46="","",'作業計画'!R46),"")</x:f>
      </x:c>
      <x:c r="L46" s="305" t="str">
        <x:f>IF('作業計画'!$H46="設計",'作業計画'!U46,"")</x:f>
      </x:c>
      <x:c r="M46" s="289" t="str">
        <x:f>IF('作業計画'!$H46="設計",'作業計画'!V46,"")</x:f>
      </x:c>
      <x:c r="N46" s="304" t="n">
        <x:f>IF('作業計画'!$H46="開発",IF('作業計画'!O46="","",'作業計画'!O46),"")</x:f>
        <x:v>46349</x:v>
      </x:c>
      <x:c r="O46" s="304" t="n">
        <x:f>IF('作業計画'!$H46="開発",IF('作業計画'!P46="","",'作業計画'!P46),"")</x:f>
        <x:v>46352</x:v>
      </x:c>
      <x:c r="P46" s="304" t="str">
        <x:f>IF('作業計画'!$H46="開発",IF('作業計画'!Q46="","",'作業計画'!Q46),"")</x:f>
      </x:c>
      <x:c r="Q46" s="304" t="str">
        <x:f>IF('作業計画'!$H46="開発",IF('作業計画'!R46="","",'作業計画'!R46),"")</x:f>
      </x:c>
      <x:c r="R46" s="289" t="n">
        <x:f>IF('作業計画'!$H46="開発",'作業計画'!S46,"")</x:f>
        <x:v>1</x:v>
      </x:c>
      <x:c r="S46" s="289" t="n">
        <x:f>IF('作業計画'!$H46="開発",'作業計画'!T46,"")</x:f>
        <x:v>0</x:v>
      </x:c>
      <x:c r="T46" s="305" t="n">
        <x:f>IF('作業計画'!$H46="開発",'作業計画'!U46,"")</x:f>
        <x:v>0</x:v>
      </x:c>
      <x:c r="U46" s="289" t="str">
        <x:f>IF('作業計画'!$H46="開発",'作業計画'!V46,"")</x:f>
        <x:v>予定前</x:v>
      </x:c>
      <x:c r="V46" s="304" t="str">
        <x:f>IF('作業計画'!$H46="テスト",IF('作業計画'!O46="","",'作業計画'!O46),"")</x:f>
      </x:c>
      <x:c r="W46" s="304" t="str">
        <x:f>IF('作業計画'!$H46="テスト",IF('作業計画'!P46="","",'作業計画'!P46),"")</x:f>
      </x:c>
      <x:c r="X46" s="304" t="str">
        <x:f>IF('作業計画'!$H46="テスト",IF('作業計画'!Q46="","",'作業計画'!Q46),"")</x:f>
      </x:c>
      <x:c r="Y46" s="304" t="str">
        <x:f>IF('作業計画'!$H46="テスト",IF('作業計画'!R46="","",'作業計画'!R46),"")</x:f>
      </x:c>
      <x:c r="Z46" s="289" t="str">
        <x:f>IF('作業計画'!$H46="テスト",'作業計画'!S46,"")</x:f>
      </x:c>
      <x:c r="AA46" s="289" t="str">
        <x:f>IF('作業計画'!$H46="テスト",'作業計画'!T46,"")</x:f>
      </x:c>
      <x:c r="AB46" s="305" t="str">
        <x:f>IF('作業計画'!$H46="テスト",'作業計画'!U46,"")</x:f>
      </x:c>
      <x:c r="AC46" s="289" t="str">
        <x:f>IF('作業計画'!$H46="テスト",'作業計画'!V46,"")</x:f>
      </x:c>
      <x:c r="AD46" s="304" t="n">
        <x:f>IF('作業計画'!O46="","",'作業計画'!O46)</x:f>
        <x:v>46349</x:v>
      </x:c>
      <x:c r="AE46" s="304" t="n">
        <x:f>IF('作業計画'!P46="","",'作業計画'!P46)</x:f>
        <x:v>46352</x:v>
      </x:c>
      <x:c r="AF46" s="304" t="str">
        <x:f>IF('作業計画'!Q46="","",'作業計画'!Q46)</x:f>
      </x:c>
      <x:c r="AG46" s="304" t="str">
        <x:f>IF('作業計画'!R46="","",'作業計画'!R46)</x:f>
      </x:c>
      <x:c r="AH46" s="289" t="n">
        <x:f>'作業計画'!S46</x:f>
        <x:v>1</x:v>
      </x:c>
      <x:c r="AI46" s="289" t="n">
        <x:f>'作業計画'!T46</x:f>
        <x:v>0</x:v>
      </x:c>
      <x:c r="AJ46" s="305" t="n">
        <x:f>'作業計画'!U46</x:f>
        <x:v>0</x:v>
      </x:c>
      <x:c r="AK46" s="289" t="str">
        <x:f>'作業計画'!V46</x:f>
        <x:v>予定前</x:v>
      </x:c>
      <x:c r="AL46" s="289" t="str">
        <x:f>'作業計画'!W46</x:f>
        <x:v>35</x:v>
      </x:c>
      <x:c r="AM46" s="289" t="str">
        <x:f>'作業計画'!J46&amp;IF('作業計画'!K46="",""," / "&amp;'作業計画'!K46)&amp;IF('作業計画'!L46="",""," / "&amp;'作業計画'!L46)</x:f>
        <x:v>00039 / 00008 / 00016</x:v>
      </x:c>
      <x:c r="AN46" s="250" t="str">
        <x:f>'作業計画'!Y46</x:f>
        <x:v>入力取得・全件／差分判定・追加Dataflow</x:v>
      </x:c>
      <x:c r="AO46" s="250" t="str">
        <x:f>IF('作業計画'!Z46="","",'作業計画'!Z46)</x:f>
      </x:c>
      <x:c r="AP46" s="251" t="str">
        <x:f>'作業計画'!X46</x:f>
        <x:v>原資料展開</x:v>
      </x:c>
    </x:row>
    <x:row r="47" ht="54" customHeight="1">
      <x:c r="A47" s="458" t="str">
        <x:f>'作業計画'!A47</x:f>
        <x:v>00041</x:v>
      </x:c>
      <x:c r="B47" s="330" t="str">
        <x:f>'作業計画'!B47</x:f>
        <x:v>04.開発</x:v>
      </x:c>
      <x:c r="C47" s="253" t="str">
        <x:f>'作業計画'!C47</x:f>
        <x:v>BronzeNotebook：処理追加</x:v>
      </x:c>
      <x:c r="D47" s="253" t="str">
        <x:f>'作業計画'!D47</x:f>
        <x:v>開発担当（要確定）</x:v>
      </x:c>
      <x:c r="E47" s="253" t="str">
        <x:f>'作業計画'!E47</x:f>
        <x:v>Japan Data Platform／Notebook</x:v>
      </x:c>
      <x:c r="F47" s="291" t="str">
        <x:f>'作業計画'!F47</x:f>
        <x:v>2.中</x:v>
      </x:c>
      <x:c r="G47" s="291" t="str">
        <x:f>'作業計画'!G47</x:f>
        <x:v>00.未確認</x:v>
      </x:c>
      <x:c r="H47" s="306" t="str">
        <x:f>IF('作業計画'!$H47="設計",IF('作業計画'!O47="","",'作業計画'!O47),"")</x:f>
      </x:c>
      <x:c r="I47" s="306" t="str">
        <x:f>IF('作業計画'!$H47="設計",IF('作業計画'!P47="","",'作業計画'!P47),"")</x:f>
      </x:c>
      <x:c r="J47" s="306" t="str">
        <x:f>IF('作業計画'!$H47="設計",IF('作業計画'!Q47="","",'作業計画'!Q47),"")</x:f>
      </x:c>
      <x:c r="K47" s="306" t="str">
        <x:f>IF('作業計画'!$H47="設計",IF('作業計画'!R47="","",'作業計画'!R47),"")</x:f>
      </x:c>
      <x:c r="L47" s="307" t="str">
        <x:f>IF('作業計画'!$H47="設計",'作業計画'!U47,"")</x:f>
      </x:c>
      <x:c r="M47" s="291" t="str">
        <x:f>IF('作業計画'!$H47="設計",'作業計画'!V47,"")</x:f>
      </x:c>
      <x:c r="N47" s="306" t="n">
        <x:f>IF('作業計画'!$H47="開発",IF('作業計画'!O47="","",'作業計画'!O47),"")</x:f>
        <x:v>46353</x:v>
      </x:c>
      <x:c r="O47" s="306" t="n">
        <x:f>IF('作業計画'!$H47="開発",IF('作業計画'!P47="","",'作業計画'!P47),"")</x:f>
        <x:v>46358</x:v>
      </x:c>
      <x:c r="P47" s="306" t="str">
        <x:f>IF('作業計画'!$H47="開発",IF('作業計画'!Q47="","",'作業計画'!Q47),"")</x:f>
      </x:c>
      <x:c r="Q47" s="306" t="str">
        <x:f>IF('作業計画'!$H47="開発",IF('作業計画'!R47="","",'作業計画'!R47),"")</x:f>
      </x:c>
      <x:c r="R47" s="291" t="n">
        <x:f>IF('作業計画'!$H47="開発",'作業計画'!S47,"")</x:f>
        <x:v>1</x:v>
      </x:c>
      <x:c r="S47" s="291" t="n">
        <x:f>IF('作業計画'!$H47="開発",'作業計画'!T47,"")</x:f>
        <x:v>0</x:v>
      </x:c>
      <x:c r="T47" s="307" t="n">
        <x:f>IF('作業計画'!$H47="開発",'作業計画'!U47,"")</x:f>
        <x:v>0</x:v>
      </x:c>
      <x:c r="U47" s="291" t="str">
        <x:f>IF('作業計画'!$H47="開発",'作業計画'!V47,"")</x:f>
        <x:v>予定前</x:v>
      </x:c>
      <x:c r="V47" s="306" t="str">
        <x:f>IF('作業計画'!$H47="テスト",IF('作業計画'!O47="","",'作業計画'!O47),"")</x:f>
      </x:c>
      <x:c r="W47" s="306" t="str">
        <x:f>IF('作業計画'!$H47="テスト",IF('作業計画'!P47="","",'作業計画'!P47),"")</x:f>
      </x:c>
      <x:c r="X47" s="306" t="str">
        <x:f>IF('作業計画'!$H47="テスト",IF('作業計画'!Q47="","",'作業計画'!Q47),"")</x:f>
      </x:c>
      <x:c r="Y47" s="306" t="str">
        <x:f>IF('作業計画'!$H47="テスト",IF('作業計画'!R47="","",'作業計画'!R47),"")</x:f>
      </x:c>
      <x:c r="Z47" s="291" t="str">
        <x:f>IF('作業計画'!$H47="テスト",'作業計画'!S47,"")</x:f>
      </x:c>
      <x:c r="AA47" s="291" t="str">
        <x:f>IF('作業計画'!$H47="テスト",'作業計画'!T47,"")</x:f>
      </x:c>
      <x:c r="AB47" s="307" t="str">
        <x:f>IF('作業計画'!$H47="テスト",'作業計画'!U47,"")</x:f>
      </x:c>
      <x:c r="AC47" s="291" t="str">
        <x:f>IF('作業計画'!$H47="テスト",'作業計画'!V47,"")</x:f>
      </x:c>
      <x:c r="AD47" s="306" t="n">
        <x:f>IF('作業計画'!O47="","",'作業計画'!O47)</x:f>
        <x:v>46353</x:v>
      </x:c>
      <x:c r="AE47" s="306" t="n">
        <x:f>IF('作業計画'!P47="","",'作業計画'!P47)</x:f>
        <x:v>46358</x:v>
      </x:c>
      <x:c r="AF47" s="306" t="str">
        <x:f>IF('作業計画'!Q47="","",'作業計画'!Q47)</x:f>
      </x:c>
      <x:c r="AG47" s="306" t="str">
        <x:f>IF('作業計画'!R47="","",'作業計画'!R47)</x:f>
      </x:c>
      <x:c r="AH47" s="291" t="n">
        <x:f>'作業計画'!S47</x:f>
        <x:v>1</x:v>
      </x:c>
      <x:c r="AI47" s="291" t="n">
        <x:f>'作業計画'!T47</x:f>
        <x:v>0</x:v>
      </x:c>
      <x:c r="AJ47" s="307" t="n">
        <x:f>'作業計画'!U47</x:f>
        <x:v>0</x:v>
      </x:c>
      <x:c r="AK47" s="291" t="str">
        <x:f>'作業計画'!V47</x:f>
        <x:v>予定前</x:v>
      </x:c>
      <x:c r="AL47" s="291" t="str">
        <x:f>'作業計画'!W47</x:f>
        <x:v>37</x:v>
      </x:c>
      <x:c r="AM47" s="291" t="str">
        <x:f>'作業計画'!J47&amp;IF('作業計画'!K47="",""," / "&amp;'作業計画'!K47)&amp;IF('作業計画'!L47="",""," / "&amp;'作業計画'!L47)</x:f>
        <x:v>00040</x:v>
      </x:c>
      <x:c r="AN47" s="253" t="str">
        <x:f>'作業計画'!Y47</x:f>
        <x:v>Bronzeの追加読込み・変換処理</x:v>
      </x:c>
      <x:c r="AO47" s="253" t="str">
        <x:f>IF('作業計画'!Z47="","",'作業計画'!Z47)</x:f>
      </x:c>
      <x:c r="AP47" s="254" t="str">
        <x:f>'作業計画'!X47</x:f>
        <x:v>原資料展開</x:v>
      </x:c>
    </x:row>
    <x:row r="48" ht="54" customHeight="1">
      <x:c r="A48" s="457" t="str">
        <x:f>'作業計画'!A48</x:f>
        <x:v>00042</x:v>
      </x:c>
      <x:c r="B48" s="330" t="str">
        <x:f>'作業計画'!B48</x:f>
        <x:v>04.開発</x:v>
      </x:c>
      <x:c r="C48" s="250" t="str">
        <x:f>'作業計画'!C48</x:f>
        <x:v>BronzePipeline：GroupA／B等の処理変更</x:v>
      </x:c>
      <x:c r="D48" s="250" t="str">
        <x:f>'作業計画'!D48</x:f>
        <x:v>開発担当（要確定）</x:v>
      </x:c>
      <x:c r="E48" s="250" t="str">
        <x:f>'作業計画'!E48</x:f>
        <x:v>Japan Data Platform／Pipeline</x:v>
      </x:c>
      <x:c r="F48" s="289" t="str">
        <x:f>'作業計画'!F48</x:f>
        <x:v>2.中</x:v>
      </x:c>
      <x:c r="G48" s="289" t="str">
        <x:f>'作業計画'!G48</x:f>
        <x:v>00.未確認</x:v>
      </x:c>
      <x:c r="H48" s="304" t="str">
        <x:f>IF('作業計画'!$H48="設計",IF('作業計画'!O48="","",'作業計画'!O48),"")</x:f>
      </x:c>
      <x:c r="I48" s="304" t="str">
        <x:f>IF('作業計画'!$H48="設計",IF('作業計画'!P48="","",'作業計画'!P48),"")</x:f>
      </x:c>
      <x:c r="J48" s="304" t="str">
        <x:f>IF('作業計画'!$H48="設計",IF('作業計画'!Q48="","",'作業計画'!Q48),"")</x:f>
      </x:c>
      <x:c r="K48" s="304" t="str">
        <x:f>IF('作業計画'!$H48="設計",IF('作業計画'!R48="","",'作業計画'!R48),"")</x:f>
      </x:c>
      <x:c r="L48" s="305" t="str">
        <x:f>IF('作業計画'!$H48="設計",'作業計画'!U48,"")</x:f>
      </x:c>
      <x:c r="M48" s="289" t="str">
        <x:f>IF('作業計画'!$H48="設計",'作業計画'!V48,"")</x:f>
      </x:c>
      <x:c r="N48" s="304" t="n">
        <x:f>IF('作業計画'!$H48="開発",IF('作業計画'!O48="","",'作業計画'!O48),"")</x:f>
        <x:v>46359</x:v>
      </x:c>
      <x:c r="O48" s="304" t="n">
        <x:f>IF('作業計画'!$H48="開発",IF('作業計画'!P48="","",'作業計画'!P48),"")</x:f>
        <x:v>46360</x:v>
      </x:c>
      <x:c r="P48" s="304" t="str">
        <x:f>IF('作業計画'!$H48="開発",IF('作業計画'!Q48="","",'作業計画'!Q48),"")</x:f>
      </x:c>
      <x:c r="Q48" s="304" t="str">
        <x:f>IF('作業計画'!$H48="開発",IF('作業計画'!R48="","",'作業計画'!R48),"")</x:f>
      </x:c>
      <x:c r="R48" s="289" t="n">
        <x:f>IF('作業計画'!$H48="開発",'作業計画'!S48,"")</x:f>
        <x:v>1</x:v>
      </x:c>
      <x:c r="S48" s="289" t="n">
        <x:f>IF('作業計画'!$H48="開発",'作業計画'!T48,"")</x:f>
        <x:v>0</x:v>
      </x:c>
      <x:c r="T48" s="305" t="n">
        <x:f>IF('作業計画'!$H48="開発",'作業計画'!U48,"")</x:f>
        <x:v>0</x:v>
      </x:c>
      <x:c r="U48" s="289" t="str">
        <x:f>IF('作業計画'!$H48="開発",'作業計画'!V48,"")</x:f>
        <x:v>予定前</x:v>
      </x:c>
      <x:c r="V48" s="304" t="str">
        <x:f>IF('作業計画'!$H48="テスト",IF('作業計画'!O48="","",'作業計画'!O48),"")</x:f>
      </x:c>
      <x:c r="W48" s="304" t="str">
        <x:f>IF('作業計画'!$H48="テスト",IF('作業計画'!P48="","",'作業計画'!P48),"")</x:f>
      </x:c>
      <x:c r="X48" s="304" t="str">
        <x:f>IF('作業計画'!$H48="テスト",IF('作業計画'!Q48="","",'作業計画'!Q48),"")</x:f>
      </x:c>
      <x:c r="Y48" s="304" t="str">
        <x:f>IF('作業計画'!$H48="テスト",IF('作業計画'!R48="","",'作業計画'!R48),"")</x:f>
      </x:c>
      <x:c r="Z48" s="289" t="str">
        <x:f>IF('作業計画'!$H48="テスト",'作業計画'!S48,"")</x:f>
      </x:c>
      <x:c r="AA48" s="289" t="str">
        <x:f>IF('作業計画'!$H48="テスト",'作業計画'!T48,"")</x:f>
      </x:c>
      <x:c r="AB48" s="305" t="str">
        <x:f>IF('作業計画'!$H48="テスト",'作業計画'!U48,"")</x:f>
      </x:c>
      <x:c r="AC48" s="289" t="str">
        <x:f>IF('作業計画'!$H48="テスト",'作業計画'!V48,"")</x:f>
      </x:c>
      <x:c r="AD48" s="304" t="n">
        <x:f>IF('作業計画'!O48="","",'作業計画'!O48)</x:f>
        <x:v>46359</x:v>
      </x:c>
      <x:c r="AE48" s="304" t="n">
        <x:f>IF('作業計画'!P48="","",'作業計画'!P48)</x:f>
        <x:v>46360</x:v>
      </x:c>
      <x:c r="AF48" s="304" t="str">
        <x:f>IF('作業計画'!Q48="","",'作業計画'!Q48)</x:f>
      </x:c>
      <x:c r="AG48" s="304" t="str">
        <x:f>IF('作業計画'!R48="","",'作業計画'!R48)</x:f>
      </x:c>
      <x:c r="AH48" s="289" t="n">
        <x:f>'作業計画'!S48</x:f>
        <x:v>1</x:v>
      </x:c>
      <x:c r="AI48" s="289" t="n">
        <x:f>'作業計画'!T48</x:f>
        <x:v>0</x:v>
      </x:c>
      <x:c r="AJ48" s="305" t="n">
        <x:f>'作業計画'!U48</x:f>
        <x:v>0</x:v>
      </x:c>
      <x:c r="AK48" s="289" t="str">
        <x:f>'作業計画'!V48</x:f>
        <x:v>予定前</x:v>
      </x:c>
      <x:c r="AL48" s="289" t="str">
        <x:f>'作業計画'!W48</x:f>
        <x:v>34</x:v>
      </x:c>
      <x:c r="AM48" s="289" t="str">
        <x:f>'作業計画'!J48&amp;IF('作業計画'!K48="",""," / "&amp;'作業計画'!K48)&amp;IF('作業計画'!L48="",""," / "&amp;'作業計画'!L48)</x:f>
        <x:v>00041</x:v>
      </x:c>
      <x:c r="AN48" s="250" t="str">
        <x:f>'作業計画'!Y48</x:f>
        <x:v>実行順・GroupA／B・依存関係を反映したPipeline</x:v>
      </x:c>
      <x:c r="AO48" s="250" t="str">
        <x:f>IF('作業計画'!Z48="","",'作業計画'!Z48)</x:f>
      </x:c>
      <x:c r="AP48" s="251" t="str">
        <x:f>'作業計画'!X48</x:f>
        <x:v>原資料展開</x:v>
      </x:c>
    </x:row>
    <x:row r="49" ht="54" customHeight="1">
      <x:c r="A49" s="458" t="str">
        <x:f>'作業計画'!A49</x:f>
        <x:v>00043</x:v>
      </x:c>
      <x:c r="B49" s="330" t="str">
        <x:f>'作業計画'!B49</x:f>
        <x:v>04.開発</x:v>
      </x:c>
      <x:c r="C49" s="253" t="str">
        <x:f>'作業計画'!C49</x:f>
        <x:v>SilverLakehouse：テーブル・列追加</x:v>
      </x:c>
      <x:c r="D49" s="253" t="str">
        <x:f>'作業計画'!D49</x:f>
        <x:v>開発担当（要確定）</x:v>
      </x:c>
      <x:c r="E49" s="253" t="str">
        <x:f>'作業計画'!E49</x:f>
        <x:v>Japan Data Platform／Silver</x:v>
      </x:c>
      <x:c r="F49" s="291" t="str">
        <x:f>'作業計画'!F49</x:f>
        <x:v>2.中</x:v>
      </x:c>
      <x:c r="G49" s="291" t="str">
        <x:f>'作業計画'!G49</x:f>
        <x:v>00.未確認</x:v>
      </x:c>
      <x:c r="H49" s="306" t="str">
        <x:f>IF('作業計画'!$H49="設計",IF('作業計画'!O49="","",'作業計画'!O49),"")</x:f>
      </x:c>
      <x:c r="I49" s="306" t="str">
        <x:f>IF('作業計画'!$H49="設計",IF('作業計画'!P49="","",'作業計画'!P49),"")</x:f>
      </x:c>
      <x:c r="J49" s="306" t="str">
        <x:f>IF('作業計画'!$H49="設計",IF('作業計画'!Q49="","",'作業計画'!Q49),"")</x:f>
      </x:c>
      <x:c r="K49" s="306" t="str">
        <x:f>IF('作業計画'!$H49="設計",IF('作業計画'!R49="","",'作業計画'!R49),"")</x:f>
      </x:c>
      <x:c r="L49" s="307" t="str">
        <x:f>IF('作業計画'!$H49="設計",'作業計画'!U49,"")</x:f>
      </x:c>
      <x:c r="M49" s="291" t="str">
        <x:f>IF('作業計画'!$H49="設計",'作業計画'!V49,"")</x:f>
      </x:c>
      <x:c r="N49" s="306" t="n">
        <x:f>IF('作業計画'!$H49="開発",IF('作業計画'!O49="","",'作業計画'!O49),"")</x:f>
        <x:v>46349</x:v>
      </x:c>
      <x:c r="O49" s="306" t="n">
        <x:f>IF('作業計画'!$H49="開発",IF('作業計画'!P49="","",'作業計画'!P49),"")</x:f>
        <x:v>46351</x:v>
      </x:c>
      <x:c r="P49" s="306" t="str">
        <x:f>IF('作業計画'!$H49="開発",IF('作業計画'!Q49="","",'作業計画'!Q49),"")</x:f>
      </x:c>
      <x:c r="Q49" s="306" t="str">
        <x:f>IF('作業計画'!$H49="開発",IF('作業計画'!R49="","",'作業計画'!R49),"")</x:f>
      </x:c>
      <x:c r="R49" s="291" t="n">
        <x:f>IF('作業計画'!$H49="開発",'作業計画'!S49,"")</x:f>
        <x:v>1</x:v>
      </x:c>
      <x:c r="S49" s="291" t="n">
        <x:f>IF('作業計画'!$H49="開発",'作業計画'!T49,"")</x:f>
        <x:v>0</x:v>
      </x:c>
      <x:c r="T49" s="307" t="n">
        <x:f>IF('作業計画'!$H49="開発",'作業計画'!U49,"")</x:f>
        <x:v>0</x:v>
      </x:c>
      <x:c r="U49" s="291" t="str">
        <x:f>IF('作業計画'!$H49="開発",'作業計画'!V49,"")</x:f>
        <x:v>予定前</x:v>
      </x:c>
      <x:c r="V49" s="306" t="str">
        <x:f>IF('作業計画'!$H49="テスト",IF('作業計画'!O49="","",'作業計画'!O49),"")</x:f>
      </x:c>
      <x:c r="W49" s="306" t="str">
        <x:f>IF('作業計画'!$H49="テスト",IF('作業計画'!P49="","",'作業計画'!P49),"")</x:f>
      </x:c>
      <x:c r="X49" s="306" t="str">
        <x:f>IF('作業計画'!$H49="テスト",IF('作業計画'!Q49="","",'作業計画'!Q49),"")</x:f>
      </x:c>
      <x:c r="Y49" s="306" t="str">
        <x:f>IF('作業計画'!$H49="テスト",IF('作業計画'!R49="","",'作業計画'!R49),"")</x:f>
      </x:c>
      <x:c r="Z49" s="291" t="str">
        <x:f>IF('作業計画'!$H49="テスト",'作業計画'!S49,"")</x:f>
      </x:c>
      <x:c r="AA49" s="291" t="str">
        <x:f>IF('作業計画'!$H49="テスト",'作業計画'!T49,"")</x:f>
      </x:c>
      <x:c r="AB49" s="307" t="str">
        <x:f>IF('作業計画'!$H49="テスト",'作業計画'!U49,"")</x:f>
      </x:c>
      <x:c r="AC49" s="291" t="str">
        <x:f>IF('作業計画'!$H49="テスト",'作業計画'!V49,"")</x:f>
      </x:c>
      <x:c r="AD49" s="306" t="n">
        <x:f>IF('作業計画'!O49="","",'作業計画'!O49)</x:f>
        <x:v>46349</x:v>
      </x:c>
      <x:c r="AE49" s="306" t="n">
        <x:f>IF('作業計画'!P49="","",'作業計画'!P49)</x:f>
        <x:v>46351</x:v>
      </x:c>
      <x:c r="AF49" s="306" t="str">
        <x:f>IF('作業計画'!Q49="","",'作業計画'!Q49)</x:f>
      </x:c>
      <x:c r="AG49" s="306" t="str">
        <x:f>IF('作業計画'!R49="","",'作業計画'!R49)</x:f>
      </x:c>
      <x:c r="AH49" s="291" t="n">
        <x:f>'作業計画'!S49</x:f>
        <x:v>1</x:v>
      </x:c>
      <x:c r="AI49" s="291" t="n">
        <x:f>'作業計画'!T49</x:f>
        <x:v>0</x:v>
      </x:c>
      <x:c r="AJ49" s="307" t="n">
        <x:f>'作業計画'!U49</x:f>
        <x:v>0</x:v>
      </x:c>
      <x:c r="AK49" s="291" t="str">
        <x:f>'作業計画'!V49</x:f>
        <x:v>予定前</x:v>
      </x:c>
      <x:c r="AL49" s="291" t="str">
        <x:f>'作業計画'!W49</x:f>
        <x:v>39</x:v>
      </x:c>
      <x:c r="AM49" s="291" t="str">
        <x:f>'作業計画'!J49&amp;IF('作業計画'!K49="",""," / "&amp;'作業計画'!K49)&amp;IF('作業計画'!L49="",""," / "&amp;'作業計画'!L49)</x:f>
        <x:v>00039</x:v>
      </x:c>
      <x:c r="AN49" s="253" t="str">
        <x:f>'作業計画'!Y49</x:f>
        <x:v>Silver追加テーブル・列定義</x:v>
      </x:c>
      <x:c r="AO49" s="253" t="str">
        <x:f>IF('作業計画'!Z49="","",'作業計画'!Z49)</x:f>
        <x:v>39テーブルはAs-Is同様の場合の暫定見込み。数量・所要日数を再見積り。</x:v>
      </x:c>
      <x:c r="AP49" s="254" t="str">
        <x:f>'作業計画'!X49</x:f>
        <x:v>原資料展開</x:v>
      </x:c>
    </x:row>
    <x:row r="50" ht="54" customHeight="1">
      <x:c r="A50" s="457" t="str">
        <x:f>'作業計画'!A50</x:f>
        <x:v>00044</x:v>
      </x:c>
      <x:c r="B50" s="330" t="str">
        <x:f>'作業計画'!B50</x:f>
        <x:v>04.開発</x:v>
      </x:c>
      <x:c r="C50" s="250" t="str">
        <x:f>'作業計画'!C50</x:f>
        <x:v>SilverNotebook：処理追加</x:v>
      </x:c>
      <x:c r="D50" s="250" t="str">
        <x:f>'作業計画'!D50</x:f>
        <x:v>開発担当（要確定）</x:v>
      </x:c>
      <x:c r="E50" s="250" t="str">
        <x:f>'作業計画'!E50</x:f>
        <x:v>Japan Data Platform／Notebook</x:v>
      </x:c>
      <x:c r="F50" s="289" t="str">
        <x:f>'作業計画'!F50</x:f>
        <x:v>2.中</x:v>
      </x:c>
      <x:c r="G50" s="289" t="str">
        <x:f>'作業計画'!G50</x:f>
        <x:v>00.未確認</x:v>
      </x:c>
      <x:c r="H50" s="304" t="str">
        <x:f>IF('作業計画'!$H50="設計",IF('作業計画'!O50="","",'作業計画'!O50),"")</x:f>
      </x:c>
      <x:c r="I50" s="304" t="str">
        <x:f>IF('作業計画'!$H50="設計",IF('作業計画'!P50="","",'作業計画'!P50),"")</x:f>
      </x:c>
      <x:c r="J50" s="304" t="str">
        <x:f>IF('作業計画'!$H50="設計",IF('作業計画'!Q50="","",'作業計画'!Q50),"")</x:f>
      </x:c>
      <x:c r="K50" s="304" t="str">
        <x:f>IF('作業計画'!$H50="設計",IF('作業計画'!R50="","",'作業計画'!R50),"")</x:f>
      </x:c>
      <x:c r="L50" s="305" t="str">
        <x:f>IF('作業計画'!$H50="設計",'作業計画'!U50,"")</x:f>
      </x:c>
      <x:c r="M50" s="289" t="str">
        <x:f>IF('作業計画'!$H50="設計",'作業計画'!V50,"")</x:f>
      </x:c>
      <x:c r="N50" s="304" t="n">
        <x:f>IF('作業計画'!$H50="開発",IF('作業計画'!O50="","",'作業計画'!O50),"")</x:f>
        <x:v>46364</x:v>
      </x:c>
      <x:c r="O50" s="304" t="n">
        <x:f>IF('作業計画'!$H50="開発",IF('作業計画'!P50="","",'作業計画'!P50),"")</x:f>
        <x:v>46367</x:v>
      </x:c>
      <x:c r="P50" s="304" t="str">
        <x:f>IF('作業計画'!$H50="開発",IF('作業計画'!Q50="","",'作業計画'!Q50),"")</x:f>
      </x:c>
      <x:c r="Q50" s="304" t="str">
        <x:f>IF('作業計画'!$H50="開発",IF('作業計画'!R50="","",'作業計画'!R50),"")</x:f>
      </x:c>
      <x:c r="R50" s="289" t="n">
        <x:f>IF('作業計画'!$H50="開発",'作業計画'!S50,"")</x:f>
        <x:v>1</x:v>
      </x:c>
      <x:c r="S50" s="289" t="n">
        <x:f>IF('作業計画'!$H50="開発",'作業計画'!T50,"")</x:f>
        <x:v>0</x:v>
      </x:c>
      <x:c r="T50" s="305" t="n">
        <x:f>IF('作業計画'!$H50="開発",'作業計画'!U50,"")</x:f>
        <x:v>0</x:v>
      </x:c>
      <x:c r="U50" s="289" t="str">
        <x:f>IF('作業計画'!$H50="開発",'作業計画'!V50,"")</x:f>
        <x:v>予定前</x:v>
      </x:c>
      <x:c r="V50" s="304" t="str">
        <x:f>IF('作業計画'!$H50="テスト",IF('作業計画'!O50="","",'作業計画'!O50),"")</x:f>
      </x:c>
      <x:c r="W50" s="304" t="str">
        <x:f>IF('作業計画'!$H50="テスト",IF('作業計画'!P50="","",'作業計画'!P50),"")</x:f>
      </x:c>
      <x:c r="X50" s="304" t="str">
        <x:f>IF('作業計画'!$H50="テスト",IF('作業計画'!Q50="","",'作業計画'!Q50),"")</x:f>
      </x:c>
      <x:c r="Y50" s="304" t="str">
        <x:f>IF('作業計画'!$H50="テスト",IF('作業計画'!R50="","",'作業計画'!R50),"")</x:f>
      </x:c>
      <x:c r="Z50" s="289" t="str">
        <x:f>IF('作業計画'!$H50="テスト",'作業計画'!S50,"")</x:f>
      </x:c>
      <x:c r="AA50" s="289" t="str">
        <x:f>IF('作業計画'!$H50="テスト",'作業計画'!T50,"")</x:f>
      </x:c>
      <x:c r="AB50" s="305" t="str">
        <x:f>IF('作業計画'!$H50="テスト",'作業計画'!U50,"")</x:f>
      </x:c>
      <x:c r="AC50" s="289" t="str">
        <x:f>IF('作業計画'!$H50="テスト",'作業計画'!V50,"")</x:f>
      </x:c>
      <x:c r="AD50" s="304" t="n">
        <x:f>IF('作業計画'!O50="","",'作業計画'!O50)</x:f>
        <x:v>46364</x:v>
      </x:c>
      <x:c r="AE50" s="304" t="n">
        <x:f>IF('作業計画'!P50="","",'作業計画'!P50)</x:f>
        <x:v>46367</x:v>
      </x:c>
      <x:c r="AF50" s="304" t="str">
        <x:f>IF('作業計画'!Q50="","",'作業計画'!Q50)</x:f>
      </x:c>
      <x:c r="AG50" s="304" t="str">
        <x:f>IF('作業計画'!R50="","",'作業計画'!R50)</x:f>
      </x:c>
      <x:c r="AH50" s="289" t="n">
        <x:f>'作業計画'!S50</x:f>
        <x:v>1</x:v>
      </x:c>
      <x:c r="AI50" s="289" t="n">
        <x:f>'作業計画'!T50</x:f>
        <x:v>0</x:v>
      </x:c>
      <x:c r="AJ50" s="305" t="n">
        <x:f>'作業計画'!U50</x:f>
        <x:v>0</x:v>
      </x:c>
      <x:c r="AK50" s="289" t="str">
        <x:f>'作業計画'!V50</x:f>
        <x:v>予定前</x:v>
      </x:c>
      <x:c r="AL50" s="289" t="str">
        <x:f>'作業計画'!W50</x:f>
        <x:v>40</x:v>
      </x:c>
      <x:c r="AM50" s="289" t="str">
        <x:f>'作業計画'!J50&amp;IF('作業計画'!K50="",""," / "&amp;'作業計画'!K50)&amp;IF('作業計画'!L50="",""," / "&amp;'作業計画'!L50)</x:f>
        <x:v>00042 / 00043 / 00036</x:v>
      </x:c>
      <x:c r="AN50" s="250" t="str">
        <x:f>'作業計画'!Y50</x:f>
        <x:v>Silverの加工・整形・更新処理</x:v>
      </x:c>
      <x:c r="AO50" s="250" t="str">
        <x:f>IF('作業計画'!Z50="","",'作業計画'!Z50)</x:f>
      </x:c>
      <x:c r="AP50" s="251" t="str">
        <x:f>'作業計画'!X50</x:f>
        <x:v>原資料展開</x:v>
      </x:c>
    </x:row>
    <x:row r="51" ht="54" customHeight="1">
      <x:c r="A51" s="458" t="str">
        <x:f>'作業計画'!A51</x:f>
        <x:v>00045</x:v>
      </x:c>
      <x:c r="B51" s="330" t="str">
        <x:f>'作業計画'!B51</x:f>
        <x:v>04.開発</x:v>
      </x:c>
      <x:c r="C51" s="253" t="str">
        <x:f>'作業計画'!C51</x:f>
        <x:v>SilverPipeline：処理変更</x:v>
      </x:c>
      <x:c r="D51" s="253" t="str">
        <x:f>'作業計画'!D51</x:f>
        <x:v>開発担当（要確定）</x:v>
      </x:c>
      <x:c r="E51" s="253" t="str">
        <x:f>'作業計画'!E51</x:f>
        <x:v>Japan Data Platform／Pipeline</x:v>
      </x:c>
      <x:c r="F51" s="291" t="str">
        <x:f>'作業計画'!F51</x:f>
        <x:v>2.中</x:v>
      </x:c>
      <x:c r="G51" s="291" t="str">
        <x:f>'作業計画'!G51</x:f>
        <x:v>00.未確認</x:v>
      </x:c>
      <x:c r="H51" s="306" t="str">
        <x:f>IF('作業計画'!$H51="設計",IF('作業計画'!O51="","",'作業計画'!O51),"")</x:f>
      </x:c>
      <x:c r="I51" s="306" t="str">
        <x:f>IF('作業計画'!$H51="設計",IF('作業計画'!P51="","",'作業計画'!P51),"")</x:f>
      </x:c>
      <x:c r="J51" s="306" t="str">
        <x:f>IF('作業計画'!$H51="設計",IF('作業計画'!Q51="","",'作業計画'!Q51),"")</x:f>
      </x:c>
      <x:c r="K51" s="306" t="str">
        <x:f>IF('作業計画'!$H51="設計",IF('作業計画'!R51="","",'作業計画'!R51),"")</x:f>
      </x:c>
      <x:c r="L51" s="307" t="str">
        <x:f>IF('作業計画'!$H51="設計",'作業計画'!U51,"")</x:f>
      </x:c>
      <x:c r="M51" s="291" t="str">
        <x:f>IF('作業計画'!$H51="設計",'作業計画'!V51,"")</x:f>
      </x:c>
      <x:c r="N51" s="306" t="n">
        <x:f>IF('作業計画'!$H51="開発",IF('作業計画'!O51="","",'作業計画'!O51),"")</x:f>
        <x:v>46370</x:v>
      </x:c>
      <x:c r="O51" s="306" t="n">
        <x:f>IF('作業計画'!$H51="開発",IF('作業計画'!P51="","",'作業計画'!P51),"")</x:f>
        <x:v>46371</x:v>
      </x:c>
      <x:c r="P51" s="306" t="str">
        <x:f>IF('作業計画'!$H51="開発",IF('作業計画'!Q51="","",'作業計画'!Q51),"")</x:f>
      </x:c>
      <x:c r="Q51" s="306" t="str">
        <x:f>IF('作業計画'!$H51="開発",IF('作業計画'!R51="","",'作業計画'!R51),"")</x:f>
      </x:c>
      <x:c r="R51" s="291" t="n">
        <x:f>IF('作業計画'!$H51="開発",'作業計画'!S51,"")</x:f>
        <x:v>1</x:v>
      </x:c>
      <x:c r="S51" s="291" t="n">
        <x:f>IF('作業計画'!$H51="開発",'作業計画'!T51,"")</x:f>
        <x:v>0</x:v>
      </x:c>
      <x:c r="T51" s="307" t="n">
        <x:f>IF('作業計画'!$H51="開発",'作業計画'!U51,"")</x:f>
        <x:v>0</x:v>
      </x:c>
      <x:c r="U51" s="291" t="str">
        <x:f>IF('作業計画'!$H51="開発",'作業計画'!V51,"")</x:f>
        <x:v>予定前</x:v>
      </x:c>
      <x:c r="V51" s="306" t="str">
        <x:f>IF('作業計画'!$H51="テスト",IF('作業計画'!O51="","",'作業計画'!O51),"")</x:f>
      </x:c>
      <x:c r="W51" s="306" t="str">
        <x:f>IF('作業計画'!$H51="テスト",IF('作業計画'!P51="","",'作業計画'!P51),"")</x:f>
      </x:c>
      <x:c r="X51" s="306" t="str">
        <x:f>IF('作業計画'!$H51="テスト",IF('作業計画'!Q51="","",'作業計画'!Q51),"")</x:f>
      </x:c>
      <x:c r="Y51" s="306" t="str">
        <x:f>IF('作業計画'!$H51="テスト",IF('作業計画'!R51="","",'作業計画'!R51),"")</x:f>
      </x:c>
      <x:c r="Z51" s="291" t="str">
        <x:f>IF('作業計画'!$H51="テスト",'作業計画'!S51,"")</x:f>
      </x:c>
      <x:c r="AA51" s="291" t="str">
        <x:f>IF('作業計画'!$H51="テスト",'作業計画'!T51,"")</x:f>
      </x:c>
      <x:c r="AB51" s="307" t="str">
        <x:f>IF('作業計画'!$H51="テスト",'作業計画'!U51,"")</x:f>
      </x:c>
      <x:c r="AC51" s="291" t="str">
        <x:f>IF('作業計画'!$H51="テスト",'作業計画'!V51,"")</x:f>
      </x:c>
      <x:c r="AD51" s="306" t="n">
        <x:f>IF('作業計画'!O51="","",'作業計画'!O51)</x:f>
        <x:v>46370</x:v>
      </x:c>
      <x:c r="AE51" s="306" t="n">
        <x:f>IF('作業計画'!P51="","",'作業計画'!P51)</x:f>
        <x:v>46371</x:v>
      </x:c>
      <x:c r="AF51" s="306" t="str">
        <x:f>IF('作業計画'!Q51="","",'作業計画'!Q51)</x:f>
      </x:c>
      <x:c r="AG51" s="306" t="str">
        <x:f>IF('作業計画'!R51="","",'作業計画'!R51)</x:f>
      </x:c>
      <x:c r="AH51" s="291" t="n">
        <x:f>'作業計画'!S51</x:f>
        <x:v>1</x:v>
      </x:c>
      <x:c r="AI51" s="291" t="n">
        <x:f>'作業計画'!T51</x:f>
        <x:v>0</x:v>
      </x:c>
      <x:c r="AJ51" s="307" t="n">
        <x:f>'作業計画'!U51</x:f>
        <x:v>0</x:v>
      </x:c>
      <x:c r="AK51" s="291" t="str">
        <x:f>'作業計画'!V51</x:f>
        <x:v>予定前</x:v>
      </x:c>
      <x:c r="AL51" s="291" t="str">
        <x:f>'作業計画'!W51</x:f>
        <x:v>38</x:v>
      </x:c>
      <x:c r="AM51" s="291" t="str">
        <x:f>'作業計画'!J51&amp;IF('作業計画'!K51="",""," / "&amp;'作業計画'!K51)&amp;IF('作業計画'!L51="",""," / "&amp;'作業計画'!L51)</x:f>
        <x:v>00044</x:v>
      </x:c>
      <x:c r="AN51" s="253" t="str">
        <x:f>'作業計画'!Y51</x:f>
        <x:v>Silver実行順・エラー制御の変更</x:v>
      </x:c>
      <x:c r="AO51" s="253" t="str">
        <x:f>IF('作業計画'!Z51="","",'作業計画'!Z51)</x:f>
      </x:c>
      <x:c r="AP51" s="254" t="str">
        <x:f>'作業計画'!X51</x:f>
        <x:v>原資料展開</x:v>
      </x:c>
    </x:row>
    <x:row r="52" ht="54" customHeight="1">
      <x:c r="A52" s="457" t="str">
        <x:f>'作業計画'!A52</x:f>
        <x:v>00046</x:v>
      </x:c>
      <x:c r="B52" s="330" t="str">
        <x:f>'作業計画'!B52</x:f>
        <x:v>04.開発</x:v>
      </x:c>
      <x:c r="C52" s="250" t="str">
        <x:f>'作業計画'!C52</x:f>
        <x:v>GoldLakehouse：取得先・参照データの構築</x:v>
      </x:c>
      <x:c r="D52" s="250" t="str">
        <x:f>'作業計画'!D52</x:f>
        <x:v>開発担当（要確定）</x:v>
      </x:c>
      <x:c r="E52" s="250" t="str">
        <x:f>'作業計画'!E52</x:f>
        <x:v>Fabric</x:v>
      </x:c>
      <x:c r="F52" s="289" t="str">
        <x:f>'作業計画'!F52</x:f>
        <x:v>2.中</x:v>
      </x:c>
      <x:c r="G52" s="289" t="str">
        <x:f>'作業計画'!G52</x:f>
        <x:v>00.未確認</x:v>
      </x:c>
      <x:c r="H52" s="304" t="str">
        <x:f>IF('作業計画'!$H52="設計",IF('作業計画'!O52="","",'作業計画'!O52),"")</x:f>
      </x:c>
      <x:c r="I52" s="304" t="str">
        <x:f>IF('作業計画'!$H52="設計",IF('作業計画'!P52="","",'作業計画'!P52),"")</x:f>
      </x:c>
      <x:c r="J52" s="304" t="str">
        <x:f>IF('作業計画'!$H52="設計",IF('作業計画'!Q52="","",'作業計画'!Q52),"")</x:f>
      </x:c>
      <x:c r="K52" s="304" t="str">
        <x:f>IF('作業計画'!$H52="設計",IF('作業計画'!R52="","",'作業計画'!R52),"")</x:f>
      </x:c>
      <x:c r="L52" s="305" t="str">
        <x:f>IF('作業計画'!$H52="設計",'作業計画'!U52,"")</x:f>
      </x:c>
      <x:c r="M52" s="289" t="str">
        <x:f>IF('作業計画'!$H52="設計",'作業計画'!V52,"")</x:f>
      </x:c>
      <x:c r="N52" s="304" t="n">
        <x:f>IF('作業計画'!$H52="開発",IF('作業計画'!O52="","",'作業計画'!O52),"")</x:f>
        <x:v>46372</x:v>
      </x:c>
      <x:c r="O52" s="304" t="n">
        <x:f>IF('作業計画'!$H52="開発",IF('作業計画'!P52="","",'作業計画'!P52),"")</x:f>
        <x:v>46373</x:v>
      </x:c>
      <x:c r="P52" s="304" t="str">
        <x:f>IF('作業計画'!$H52="開発",IF('作業計画'!Q52="","",'作業計画'!Q52),"")</x:f>
      </x:c>
      <x:c r="Q52" s="304" t="str">
        <x:f>IF('作業計画'!$H52="開発",IF('作業計画'!R52="","",'作業計画'!R52),"")</x:f>
      </x:c>
      <x:c r="R52" s="289" t="n">
        <x:f>IF('作業計画'!$H52="開発",'作業計画'!S52,"")</x:f>
        <x:v>1</x:v>
      </x:c>
      <x:c r="S52" s="289" t="n">
        <x:f>IF('作業計画'!$H52="開発",'作業計画'!T52,"")</x:f>
        <x:v>0</x:v>
      </x:c>
      <x:c r="T52" s="305" t="n">
        <x:f>IF('作業計画'!$H52="開発",'作業計画'!U52,"")</x:f>
        <x:v>0</x:v>
      </x:c>
      <x:c r="U52" s="289" t="str">
        <x:f>IF('作業計画'!$H52="開発",'作業計画'!V52,"")</x:f>
        <x:v>予定前</x:v>
      </x:c>
      <x:c r="V52" s="304" t="str">
        <x:f>IF('作業計画'!$H52="テスト",IF('作業計画'!O52="","",'作業計画'!O52),"")</x:f>
      </x:c>
      <x:c r="W52" s="304" t="str">
        <x:f>IF('作業計画'!$H52="テスト",IF('作業計画'!P52="","",'作業計画'!P52),"")</x:f>
      </x:c>
      <x:c r="X52" s="304" t="str">
        <x:f>IF('作業計画'!$H52="テスト",IF('作業計画'!Q52="","",'作業計画'!Q52),"")</x:f>
      </x:c>
      <x:c r="Y52" s="304" t="str">
        <x:f>IF('作業計画'!$H52="テスト",IF('作業計画'!R52="","",'作業計画'!R52),"")</x:f>
      </x:c>
      <x:c r="Z52" s="289" t="str">
        <x:f>IF('作業計画'!$H52="テスト",'作業計画'!S52,"")</x:f>
      </x:c>
      <x:c r="AA52" s="289" t="str">
        <x:f>IF('作業計画'!$H52="テスト",'作業計画'!T52,"")</x:f>
      </x:c>
      <x:c r="AB52" s="305" t="str">
        <x:f>IF('作業計画'!$H52="テスト",'作業計画'!U52,"")</x:f>
      </x:c>
      <x:c r="AC52" s="289" t="str">
        <x:f>IF('作業計画'!$H52="テスト",'作業計画'!V52,"")</x:f>
      </x:c>
      <x:c r="AD52" s="304" t="n">
        <x:f>IF('作業計画'!O52="","",'作業計画'!O52)</x:f>
        <x:v>46372</x:v>
      </x:c>
      <x:c r="AE52" s="304" t="n">
        <x:f>IF('作業計画'!P52="","",'作業計画'!P52)</x:f>
        <x:v>46373</x:v>
      </x:c>
      <x:c r="AF52" s="304" t="str">
        <x:f>IF('作業計画'!Q52="","",'作業計画'!Q52)</x:f>
      </x:c>
      <x:c r="AG52" s="304" t="str">
        <x:f>IF('作業計画'!R52="","",'作業計画'!R52)</x:f>
      </x:c>
      <x:c r="AH52" s="289" t="n">
        <x:f>'作業計画'!S52</x:f>
        <x:v>1</x:v>
      </x:c>
      <x:c r="AI52" s="289" t="n">
        <x:f>'作業計画'!T52</x:f>
        <x:v>0</x:v>
      </x:c>
      <x:c r="AJ52" s="305" t="n">
        <x:f>'作業計画'!U52</x:f>
        <x:v>0</x:v>
      </x:c>
      <x:c r="AK52" s="289" t="str">
        <x:f>'作業計画'!V52</x:f>
        <x:v>予定前</x:v>
      </x:c>
      <x:c r="AL52" s="289" t="str">
        <x:f>'作業計画'!W52</x:f>
        <x:v>42</x:v>
      </x:c>
      <x:c r="AM52" s="289" t="str">
        <x:f>'作業計画'!J52&amp;IF('作業計画'!K52="",""," / "&amp;'作業計画'!K52)&amp;IF('作業計画'!L52="",""," / "&amp;'作業計画'!L52)</x:f>
        <x:v>00045</x:v>
      </x:c>
      <x:c r="AN52" s="250" t="str">
        <x:f>'作業計画'!Y52</x:f>
        <x:v>OneForce・Redshift・SharePointの取得／参照構成</x:v>
      </x:c>
      <x:c r="AO52" s="250" t="str">
        <x:f>IF('作業計画'!Z52="","",'作業計画'!Z52)</x:f>
        <x:v>Lakehouseは1～2件の見込み。数量・配置は要確定。</x:v>
      </x:c>
      <x:c r="AP52" s="251" t="str">
        <x:f>'作業計画'!X52</x:f>
        <x:v>原資料展開</x:v>
      </x:c>
    </x:row>
    <x:row r="53" ht="54" customHeight="1">
      <x:c r="A53" s="458" t="str">
        <x:f>'作業計画'!A53</x:f>
        <x:v>00047</x:v>
      </x:c>
      <x:c r="B53" s="330" t="str">
        <x:f>'作業計画'!B53</x:f>
        <x:v>04.開発</x:v>
      </x:c>
      <x:c r="C53" s="253" t="str">
        <x:f>'作業計画'!C53</x:f>
        <x:v>GoldWarehouse／SQL endpoint：共通Function作成</x:v>
      </x:c>
      <x:c r="D53" s="253" t="str">
        <x:f>'作業計画'!D53</x:f>
        <x:v>SQL開発担当（要確定）</x:v>
      </x:c>
      <x:c r="E53" s="253" t="str">
        <x:f>'作業計画'!E53</x:f>
        <x:v>Fabric</x:v>
      </x:c>
      <x:c r="F53" s="291" t="str">
        <x:f>'作業計画'!F53</x:f>
        <x:v>2.中</x:v>
      </x:c>
      <x:c r="G53" s="291" t="str">
        <x:f>'作業計画'!G53</x:f>
        <x:v>00.未確認</x:v>
      </x:c>
      <x:c r="H53" s="306" t="str">
        <x:f>IF('作業計画'!$H53="設計",IF('作業計画'!O53="","",'作業計画'!O53),"")</x:f>
      </x:c>
      <x:c r="I53" s="306" t="str">
        <x:f>IF('作業計画'!$H53="設計",IF('作業計画'!P53="","",'作業計画'!P53),"")</x:f>
      </x:c>
      <x:c r="J53" s="306" t="str">
        <x:f>IF('作業計画'!$H53="設計",IF('作業計画'!Q53="","",'作業計画'!Q53),"")</x:f>
      </x:c>
      <x:c r="K53" s="306" t="str">
        <x:f>IF('作業計画'!$H53="設計",IF('作業計画'!R53="","",'作業計画'!R53),"")</x:f>
      </x:c>
      <x:c r="L53" s="307" t="str">
        <x:f>IF('作業計画'!$H53="設計",'作業計画'!U53,"")</x:f>
      </x:c>
      <x:c r="M53" s="291" t="str">
        <x:f>IF('作業計画'!$H53="設計",'作業計画'!V53,"")</x:f>
      </x:c>
      <x:c r="N53" s="306" t="n">
        <x:f>IF('作業計画'!$H53="開発",IF('作業計画'!O53="","",'作業計画'!O53),"")</x:f>
        <x:v>46374</x:v>
      </x:c>
      <x:c r="O53" s="306" t="n">
        <x:f>IF('作業計画'!$H53="開発",IF('作業計画'!P53="","",'作業計画'!P53),"")</x:f>
        <x:v>46378</x:v>
      </x:c>
      <x:c r="P53" s="306" t="str">
        <x:f>IF('作業計画'!$H53="開発",IF('作業計画'!Q53="","",'作業計画'!Q53),"")</x:f>
      </x:c>
      <x:c r="Q53" s="306" t="str">
        <x:f>IF('作業計画'!$H53="開発",IF('作業計画'!R53="","",'作業計画'!R53),"")</x:f>
      </x:c>
      <x:c r="R53" s="291" t="n">
        <x:f>IF('作業計画'!$H53="開発",'作業計画'!S53,"")</x:f>
        <x:v>1</x:v>
      </x:c>
      <x:c r="S53" s="291" t="n">
        <x:f>IF('作業計画'!$H53="開発",'作業計画'!T53,"")</x:f>
        <x:v>0</x:v>
      </x:c>
      <x:c r="T53" s="307" t="n">
        <x:f>IF('作業計画'!$H53="開発",'作業計画'!U53,"")</x:f>
        <x:v>0</x:v>
      </x:c>
      <x:c r="U53" s="291" t="str">
        <x:f>IF('作業計画'!$H53="開発",'作業計画'!V53,"")</x:f>
        <x:v>予定前</x:v>
      </x:c>
      <x:c r="V53" s="306" t="str">
        <x:f>IF('作業計画'!$H53="テスト",IF('作業計画'!O53="","",'作業計画'!O53),"")</x:f>
      </x:c>
      <x:c r="W53" s="306" t="str">
        <x:f>IF('作業計画'!$H53="テスト",IF('作業計画'!P53="","",'作業計画'!P53),"")</x:f>
      </x:c>
      <x:c r="X53" s="306" t="str">
        <x:f>IF('作業計画'!$H53="テスト",IF('作業計画'!Q53="","",'作業計画'!Q53),"")</x:f>
      </x:c>
      <x:c r="Y53" s="306" t="str">
        <x:f>IF('作業計画'!$H53="テスト",IF('作業計画'!R53="","",'作業計画'!R53),"")</x:f>
      </x:c>
      <x:c r="Z53" s="291" t="str">
        <x:f>IF('作業計画'!$H53="テスト",'作業計画'!S53,"")</x:f>
      </x:c>
      <x:c r="AA53" s="291" t="str">
        <x:f>IF('作業計画'!$H53="テスト",'作業計画'!T53,"")</x:f>
      </x:c>
      <x:c r="AB53" s="307" t="str">
        <x:f>IF('作業計画'!$H53="テスト",'作業計画'!U53,"")</x:f>
      </x:c>
      <x:c r="AC53" s="291" t="str">
        <x:f>IF('作業計画'!$H53="テスト",'作業計画'!V53,"")</x:f>
      </x:c>
      <x:c r="AD53" s="306" t="n">
        <x:f>IF('作業計画'!O53="","",'作業計画'!O53)</x:f>
        <x:v>46374</x:v>
      </x:c>
      <x:c r="AE53" s="306" t="n">
        <x:f>IF('作業計画'!P53="","",'作業計画'!P53)</x:f>
        <x:v>46378</x:v>
      </x:c>
      <x:c r="AF53" s="306" t="str">
        <x:f>IF('作業計画'!Q53="","",'作業計画'!Q53)</x:f>
      </x:c>
      <x:c r="AG53" s="306" t="str">
        <x:f>IF('作業計画'!R53="","",'作業計画'!R53)</x:f>
      </x:c>
      <x:c r="AH53" s="291" t="n">
        <x:f>'作業計画'!S53</x:f>
        <x:v>1</x:v>
      </x:c>
      <x:c r="AI53" s="291" t="n">
        <x:f>'作業計画'!T53</x:f>
        <x:v>0</x:v>
      </x:c>
      <x:c r="AJ53" s="307" t="n">
        <x:f>'作業計画'!U53</x:f>
        <x:v>0</x:v>
      </x:c>
      <x:c r="AK53" s="291" t="str">
        <x:f>'作業計画'!V53</x:f>
        <x:v>予定前</x:v>
      </x:c>
      <x:c r="AL53" s="291" t="str">
        <x:f>'作業計画'!W53</x:f>
        <x:v>43</x:v>
      </x:c>
      <x:c r="AM53" s="291" t="str">
        <x:f>'作業計画'!J53&amp;IF('作業計画'!K53="",""," / "&amp;'作業計画'!K53)&amp;IF('作業計画'!L53="",""," / "&amp;'作業計画'!L53)</x:f>
        <x:v>00029 / 00031 / 00046</x:v>
      </x:c>
      <x:c r="AN53" s="253" t="str">
        <x:f>'作業計画'!Y53</x:f>
        <x:v>事前検証で採用した実行先へのSQL共通関数実装</x:v>
      </x:c>
      <x:c r="AO53" s="253" t="str">
        <x:f>IF('作業計画'!Z53="","",'作業計画'!Z53)</x:f>
        <x:v>事前検証担当と本実装担当は別途確定する。</x:v>
      </x:c>
      <x:c r="AP53" s="254" t="str">
        <x:f>'作業計画'!X53</x:f>
        <x:v>原資料展開</x:v>
      </x:c>
    </x:row>
    <x:row r="54" ht="54" customHeight="1">
      <x:c r="A54" s="457" t="str">
        <x:f>'作業計画'!A54</x:f>
        <x:v>00048</x:v>
      </x:c>
      <x:c r="B54" s="330" t="str">
        <x:f>'作業計画'!B54</x:f>
        <x:v>04.開発</x:v>
      </x:c>
      <x:c r="C54" s="250" t="str">
        <x:f>'作業計画'!C54</x:f>
        <x:v>Notebook：共通処理1件の作成</x:v>
      </x:c>
      <x:c r="D54" s="250" t="str">
        <x:f>'作業計画'!D54</x:f>
        <x:v>開発担当（要確定）</x:v>
      </x:c>
      <x:c r="E54" s="250" t="str">
        <x:f>'作業計画'!E54</x:f>
        <x:v>Fabric Notebook</x:v>
      </x:c>
      <x:c r="F54" s="289" t="str">
        <x:f>'作業計画'!F54</x:f>
        <x:v>2.中</x:v>
      </x:c>
      <x:c r="G54" s="289" t="str">
        <x:f>'作業計画'!G54</x:f>
        <x:v>00.未確認</x:v>
      </x:c>
      <x:c r="H54" s="304" t="str">
        <x:f>IF('作業計画'!$H54="設計",IF('作業計画'!O54="","",'作業計画'!O54),"")</x:f>
      </x:c>
      <x:c r="I54" s="304" t="str">
        <x:f>IF('作業計画'!$H54="設計",IF('作業計画'!P54="","",'作業計画'!P54),"")</x:f>
      </x:c>
      <x:c r="J54" s="304" t="str">
        <x:f>IF('作業計画'!$H54="設計",IF('作業計画'!Q54="","",'作業計画'!Q54),"")</x:f>
      </x:c>
      <x:c r="K54" s="304" t="str">
        <x:f>IF('作業計画'!$H54="設計",IF('作業計画'!R54="","",'作業計画'!R54),"")</x:f>
      </x:c>
      <x:c r="L54" s="305" t="str">
        <x:f>IF('作業計画'!$H54="設計",'作業計画'!U54,"")</x:f>
      </x:c>
      <x:c r="M54" s="289" t="str">
        <x:f>IF('作業計画'!$H54="設計",'作業計画'!V54,"")</x:f>
      </x:c>
      <x:c r="N54" s="304" t="n">
        <x:f>IF('作業計画'!$H54="開発",IF('作業計画'!O54="","",'作業計画'!O54),"")</x:f>
        <x:v>46374</x:v>
      </x:c>
      <x:c r="O54" s="304" t="n">
        <x:f>IF('作業計画'!$H54="開発",IF('作業計画'!P54="","",'作業計画'!P54),"")</x:f>
        <x:v>46378</x:v>
      </x:c>
      <x:c r="P54" s="304" t="str">
        <x:f>IF('作業計画'!$H54="開発",IF('作業計画'!Q54="","",'作業計画'!Q54),"")</x:f>
      </x:c>
      <x:c r="Q54" s="304" t="str">
        <x:f>IF('作業計画'!$H54="開発",IF('作業計画'!R54="","",'作業計画'!R54),"")</x:f>
      </x:c>
      <x:c r="R54" s="289" t="n">
        <x:f>IF('作業計画'!$H54="開発",'作業計画'!S54,"")</x:f>
        <x:v>1</x:v>
      </x:c>
      <x:c r="S54" s="289" t="n">
        <x:f>IF('作業計画'!$H54="開発",'作業計画'!T54,"")</x:f>
        <x:v>0</x:v>
      </x:c>
      <x:c r="T54" s="305" t="n">
        <x:f>IF('作業計画'!$H54="開発",'作業計画'!U54,"")</x:f>
        <x:v>0</x:v>
      </x:c>
      <x:c r="U54" s="289" t="str">
        <x:f>IF('作業計画'!$H54="開発",'作業計画'!V54,"")</x:f>
        <x:v>予定前</x:v>
      </x:c>
      <x:c r="V54" s="304" t="str">
        <x:f>IF('作業計画'!$H54="テスト",IF('作業計画'!O54="","",'作業計画'!O54),"")</x:f>
      </x:c>
      <x:c r="W54" s="304" t="str">
        <x:f>IF('作業計画'!$H54="テスト",IF('作業計画'!P54="","",'作業計画'!P54),"")</x:f>
      </x:c>
      <x:c r="X54" s="304" t="str">
        <x:f>IF('作業計画'!$H54="テスト",IF('作業計画'!Q54="","",'作業計画'!Q54),"")</x:f>
      </x:c>
      <x:c r="Y54" s="304" t="str">
        <x:f>IF('作業計画'!$H54="テスト",IF('作業計画'!R54="","",'作業計画'!R54),"")</x:f>
      </x:c>
      <x:c r="Z54" s="289" t="str">
        <x:f>IF('作業計画'!$H54="テスト",'作業計画'!S54,"")</x:f>
      </x:c>
      <x:c r="AA54" s="289" t="str">
        <x:f>IF('作業計画'!$H54="テスト",'作業計画'!T54,"")</x:f>
      </x:c>
      <x:c r="AB54" s="305" t="str">
        <x:f>IF('作業計画'!$H54="テスト",'作業計画'!U54,"")</x:f>
      </x:c>
      <x:c r="AC54" s="289" t="str">
        <x:f>IF('作業計画'!$H54="テスト",'作業計画'!V54,"")</x:f>
      </x:c>
      <x:c r="AD54" s="304" t="n">
        <x:f>IF('作業計画'!O54="","",'作業計画'!O54)</x:f>
        <x:v>46374</x:v>
      </x:c>
      <x:c r="AE54" s="304" t="n">
        <x:f>IF('作業計画'!P54="","",'作業計画'!P54)</x:f>
        <x:v>46378</x:v>
      </x:c>
      <x:c r="AF54" s="304" t="str">
        <x:f>IF('作業計画'!Q54="","",'作業計画'!Q54)</x:f>
      </x:c>
      <x:c r="AG54" s="304" t="str">
        <x:f>IF('作業計画'!R54="","",'作業計画'!R54)</x:f>
      </x:c>
      <x:c r="AH54" s="289" t="n">
        <x:f>'作業計画'!S54</x:f>
        <x:v>1</x:v>
      </x:c>
      <x:c r="AI54" s="289" t="n">
        <x:f>'作業計画'!T54</x:f>
        <x:v>0</x:v>
      </x:c>
      <x:c r="AJ54" s="305" t="n">
        <x:f>'作業計画'!U54</x:f>
        <x:v>0</x:v>
      </x:c>
      <x:c r="AK54" s="289" t="str">
        <x:f>'作業計画'!V54</x:f>
        <x:v>予定前</x:v>
      </x:c>
      <x:c r="AL54" s="289" t="str">
        <x:f>'作業計画'!W54</x:f>
        <x:v>47</x:v>
      </x:c>
      <x:c r="AM54" s="289" t="str">
        <x:f>'作業計画'!J54&amp;IF('作業計画'!K54="",""," / "&amp;'作業計画'!K54)&amp;IF('作業計画'!L54="",""," / "&amp;'作業計画'!L54)</x:f>
        <x:v>00030 / 00031 / 00046</x:v>
      </x:c>
      <x:c r="AN54" s="250" t="str">
        <x:f>'作業計画'!Y54</x:f>
        <x:v>再利用する共通関数Notebookと呼出しインターフェース</x:v>
      </x:c>
      <x:c r="AO54" s="250" t="str">
        <x:f>IF('作業計画'!Z54="","",'作業計画'!Z54)</x:f>
      </x:c>
      <x:c r="AP54" s="251" t="str">
        <x:f>'作業計画'!X54</x:f>
        <x:v>原資料展開</x:v>
      </x:c>
    </x:row>
    <x:row r="55" ht="54" customHeight="1">
      <x:c r="A55" s="458" t="str">
        <x:f>'作業計画'!A55</x:f>
        <x:v>00049</x:v>
      </x:c>
      <x:c r="B55" s="330" t="str">
        <x:f>'作業計画'!B55</x:f>
        <x:v>04.開発</x:v>
      </x:c>
      <x:c r="C55" s="253" t="str">
        <x:f>'作業計画'!C55</x:f>
        <x:v>Notebook：差分更新用1件の作成</x:v>
      </x:c>
      <x:c r="D55" s="253" t="str">
        <x:f>'作業計画'!D55</x:f>
        <x:v>開発担当（要確定）</x:v>
      </x:c>
      <x:c r="E55" s="253" t="str">
        <x:f>'作業計画'!E55</x:f>
        <x:v>Fabric Notebook</x:v>
      </x:c>
      <x:c r="F55" s="291" t="str">
        <x:f>'作業計画'!F55</x:f>
        <x:v>2.中</x:v>
      </x:c>
      <x:c r="G55" s="291" t="str">
        <x:f>'作業計画'!G55</x:f>
        <x:v>00.未確認</x:v>
      </x:c>
      <x:c r="H55" s="306" t="str">
        <x:f>IF('作業計画'!$H55="設計",IF('作業計画'!O55="","",'作業計画'!O55),"")</x:f>
      </x:c>
      <x:c r="I55" s="306" t="str">
        <x:f>IF('作業計画'!$H55="設計",IF('作業計画'!P55="","",'作業計画'!P55),"")</x:f>
      </x:c>
      <x:c r="J55" s="306" t="str">
        <x:f>IF('作業計画'!$H55="設計",IF('作業計画'!Q55="","",'作業計画'!Q55),"")</x:f>
      </x:c>
      <x:c r="K55" s="306" t="str">
        <x:f>IF('作業計画'!$H55="設計",IF('作業計画'!R55="","",'作業計画'!R55),"")</x:f>
      </x:c>
      <x:c r="L55" s="307" t="str">
        <x:f>IF('作業計画'!$H55="設計",'作業計画'!U55,"")</x:f>
      </x:c>
      <x:c r="M55" s="291" t="str">
        <x:f>IF('作業計画'!$H55="設計",'作業計画'!V55,"")</x:f>
      </x:c>
      <x:c r="N55" s="306" t="n">
        <x:f>IF('作業計画'!$H55="開発",IF('作業計画'!O55="","",'作業計画'!O55),"")</x:f>
        <x:v>46379</x:v>
      </x:c>
      <x:c r="O55" s="306" t="n">
        <x:f>IF('作業計画'!$H55="開発",IF('作業計画'!P55="","",'作業計画'!P55),"")</x:f>
        <x:v>46384</x:v>
      </x:c>
      <x:c r="P55" s="306" t="str">
        <x:f>IF('作業計画'!$H55="開発",IF('作業計画'!Q55="","",'作業計画'!Q55),"")</x:f>
      </x:c>
      <x:c r="Q55" s="306" t="str">
        <x:f>IF('作業計画'!$H55="開発",IF('作業計画'!R55="","",'作業計画'!R55),"")</x:f>
      </x:c>
      <x:c r="R55" s="291" t="n">
        <x:f>IF('作業計画'!$H55="開発",'作業計画'!S55,"")</x:f>
        <x:v>1</x:v>
      </x:c>
      <x:c r="S55" s="291" t="n">
        <x:f>IF('作業計画'!$H55="開発",'作業計画'!T55,"")</x:f>
        <x:v>0</x:v>
      </x:c>
      <x:c r="T55" s="307" t="n">
        <x:f>IF('作業計画'!$H55="開発",'作業計画'!U55,"")</x:f>
        <x:v>0</x:v>
      </x:c>
      <x:c r="U55" s="291" t="str">
        <x:f>IF('作業計画'!$H55="開発",'作業計画'!V55,"")</x:f>
        <x:v>予定前</x:v>
      </x:c>
      <x:c r="V55" s="306" t="str">
        <x:f>IF('作業計画'!$H55="テスト",IF('作業計画'!O55="","",'作業計画'!O55),"")</x:f>
      </x:c>
      <x:c r="W55" s="306" t="str">
        <x:f>IF('作業計画'!$H55="テスト",IF('作業計画'!P55="","",'作業計画'!P55),"")</x:f>
      </x:c>
      <x:c r="X55" s="306" t="str">
        <x:f>IF('作業計画'!$H55="テスト",IF('作業計画'!Q55="","",'作業計画'!Q55),"")</x:f>
      </x:c>
      <x:c r="Y55" s="306" t="str">
        <x:f>IF('作業計画'!$H55="テスト",IF('作業計画'!R55="","",'作業計画'!R55),"")</x:f>
      </x:c>
      <x:c r="Z55" s="291" t="str">
        <x:f>IF('作業計画'!$H55="テスト",'作業計画'!S55,"")</x:f>
      </x:c>
      <x:c r="AA55" s="291" t="str">
        <x:f>IF('作業計画'!$H55="テスト",'作業計画'!T55,"")</x:f>
      </x:c>
      <x:c r="AB55" s="307" t="str">
        <x:f>IF('作業計画'!$H55="テスト",'作業計画'!U55,"")</x:f>
      </x:c>
      <x:c r="AC55" s="291" t="str">
        <x:f>IF('作業計画'!$H55="テスト",'作業計画'!V55,"")</x:f>
      </x:c>
      <x:c r="AD55" s="306" t="n">
        <x:f>IF('作業計画'!O55="","",'作業計画'!O55)</x:f>
        <x:v>46379</x:v>
      </x:c>
      <x:c r="AE55" s="306" t="n">
        <x:f>IF('作業計画'!P55="","",'作業計画'!P55)</x:f>
        <x:v>46384</x:v>
      </x:c>
      <x:c r="AF55" s="306" t="str">
        <x:f>IF('作業計画'!Q55="","",'作業計画'!Q55)</x:f>
      </x:c>
      <x:c r="AG55" s="306" t="str">
        <x:f>IF('作業計画'!R55="","",'作業計画'!R55)</x:f>
      </x:c>
      <x:c r="AH55" s="291" t="n">
        <x:f>'作業計画'!S55</x:f>
        <x:v>1</x:v>
      </x:c>
      <x:c r="AI55" s="291" t="n">
        <x:f>'作業計画'!T55</x:f>
        <x:v>0</x:v>
      </x:c>
      <x:c r="AJ55" s="307" t="n">
        <x:f>'作業計画'!U55</x:f>
        <x:v>0</x:v>
      </x:c>
      <x:c r="AK55" s="291" t="str">
        <x:f>'作業計画'!V55</x:f>
        <x:v>予定前</x:v>
      </x:c>
      <x:c r="AL55" s="291" t="str">
        <x:f>'作業計画'!W55</x:f>
        <x:v>46</x:v>
      </x:c>
      <x:c r="AM55" s="291" t="str">
        <x:f>'作業計画'!J55&amp;IF('作業計画'!K55="",""," / "&amp;'作業計画'!K55)&amp;IF('作業計画'!L55="",""," / "&amp;'作業計画'!L55)</x:f>
        <x:v>00048 / 00031 / 00036</x:v>
      </x:c>
      <x:c r="AN55" s="253" t="str">
        <x:f>'作業計画'!Y55</x:f>
        <x:v>差分抽出・Watermark連動・更新処理</x:v>
      </x:c>
      <x:c r="AO55" s="253" t="str">
        <x:f>IF('作業計画'!Z55="","",'作業計画'!Z55)</x:f>
      </x:c>
      <x:c r="AP55" s="254" t="str">
        <x:f>'作業計画'!X55</x:f>
        <x:v>原資料展開</x:v>
      </x:c>
    </x:row>
    <x:row r="56" ht="54" customHeight="1">
      <x:c r="A56" s="457" t="str">
        <x:f>'作業計画'!A56</x:f>
        <x:v>00050</x:v>
      </x:c>
      <x:c r="B56" s="330" t="str">
        <x:f>'作業計画'!B56</x:f>
        <x:v>04.開発</x:v>
      </x:c>
      <x:c r="C56" s="250" t="str">
        <x:f>'作業計画'!C56</x:f>
        <x:v>GoldWarehouse／SQL endpoint：出力向けView作成</x:v>
      </x:c>
      <x:c r="D56" s="250" t="str">
        <x:f>'作業計画'!D56</x:f>
        <x:v>SQL開発担当（要確定）</x:v>
      </x:c>
      <x:c r="E56" s="250" t="str">
        <x:f>'作業計画'!E56</x:f>
        <x:v>Fabric</x:v>
      </x:c>
      <x:c r="F56" s="289" t="str">
        <x:f>'作業計画'!F56</x:f>
        <x:v>2.中</x:v>
      </x:c>
      <x:c r="G56" s="289" t="str">
        <x:f>'作業計画'!G56</x:f>
        <x:v>00.未確認</x:v>
      </x:c>
      <x:c r="H56" s="304" t="str">
        <x:f>IF('作業計画'!$H56="設計",IF('作業計画'!O56="","",'作業計画'!O56),"")</x:f>
      </x:c>
      <x:c r="I56" s="304" t="str">
        <x:f>IF('作業計画'!$H56="設計",IF('作業計画'!P56="","",'作業計画'!P56),"")</x:f>
      </x:c>
      <x:c r="J56" s="304" t="str">
        <x:f>IF('作業計画'!$H56="設計",IF('作業計画'!Q56="","",'作業計画'!Q56),"")</x:f>
      </x:c>
      <x:c r="K56" s="304" t="str">
        <x:f>IF('作業計画'!$H56="設計",IF('作業計画'!R56="","",'作業計画'!R56),"")</x:f>
      </x:c>
      <x:c r="L56" s="305" t="str">
        <x:f>IF('作業計画'!$H56="設計",'作業計画'!U56,"")</x:f>
      </x:c>
      <x:c r="M56" s="289" t="str">
        <x:f>IF('作業計画'!$H56="設計",'作業計画'!V56,"")</x:f>
      </x:c>
      <x:c r="N56" s="304" t="n">
        <x:f>IF('作業計画'!$H56="開発",IF('作業計画'!O56="","",'作業計画'!O56),"")</x:f>
        <x:v>46379</x:v>
      </x:c>
      <x:c r="O56" s="304" t="n">
        <x:f>IF('作業計画'!$H56="開発",IF('作業計画'!P56="","",'作業計画'!P56),"")</x:f>
        <x:v>46381</x:v>
      </x:c>
      <x:c r="P56" s="304" t="str">
        <x:f>IF('作業計画'!$H56="開発",IF('作業計画'!Q56="","",'作業計画'!Q56),"")</x:f>
      </x:c>
      <x:c r="Q56" s="304" t="str">
        <x:f>IF('作業計画'!$H56="開発",IF('作業計画'!R56="","",'作業計画'!R56),"")</x:f>
      </x:c>
      <x:c r="R56" s="289" t="n">
        <x:f>IF('作業計画'!$H56="開発",'作業計画'!S56,"")</x:f>
        <x:v>1</x:v>
      </x:c>
      <x:c r="S56" s="289" t="n">
        <x:f>IF('作業計画'!$H56="開発",'作業計画'!T56,"")</x:f>
        <x:v>0</x:v>
      </x:c>
      <x:c r="T56" s="305" t="n">
        <x:f>IF('作業計画'!$H56="開発",'作業計画'!U56,"")</x:f>
        <x:v>0</x:v>
      </x:c>
      <x:c r="U56" s="289" t="str">
        <x:f>IF('作業計画'!$H56="開発",'作業計画'!V56,"")</x:f>
        <x:v>予定前</x:v>
      </x:c>
      <x:c r="V56" s="304" t="str">
        <x:f>IF('作業計画'!$H56="テスト",IF('作業計画'!O56="","",'作業計画'!O56),"")</x:f>
      </x:c>
      <x:c r="W56" s="304" t="str">
        <x:f>IF('作業計画'!$H56="テスト",IF('作業計画'!P56="","",'作業計画'!P56),"")</x:f>
      </x:c>
      <x:c r="X56" s="304" t="str">
        <x:f>IF('作業計画'!$H56="テスト",IF('作業計画'!Q56="","",'作業計画'!Q56),"")</x:f>
      </x:c>
      <x:c r="Y56" s="304" t="str">
        <x:f>IF('作業計画'!$H56="テスト",IF('作業計画'!R56="","",'作業計画'!R56),"")</x:f>
      </x:c>
      <x:c r="Z56" s="289" t="str">
        <x:f>IF('作業計画'!$H56="テスト",'作業計画'!S56,"")</x:f>
      </x:c>
      <x:c r="AA56" s="289" t="str">
        <x:f>IF('作業計画'!$H56="テスト",'作業計画'!T56,"")</x:f>
      </x:c>
      <x:c r="AB56" s="305" t="str">
        <x:f>IF('作業計画'!$H56="テスト",'作業計画'!U56,"")</x:f>
      </x:c>
      <x:c r="AC56" s="289" t="str">
        <x:f>IF('作業計画'!$H56="テスト",'作業計画'!V56,"")</x:f>
      </x:c>
      <x:c r="AD56" s="304" t="n">
        <x:f>IF('作業計画'!O56="","",'作業計画'!O56)</x:f>
        <x:v>46379</x:v>
      </x:c>
      <x:c r="AE56" s="304" t="n">
        <x:f>IF('作業計画'!P56="","",'作業計画'!P56)</x:f>
        <x:v>46381</x:v>
      </x:c>
      <x:c r="AF56" s="304" t="str">
        <x:f>IF('作業計画'!Q56="","",'作業計画'!Q56)</x:f>
      </x:c>
      <x:c r="AG56" s="304" t="str">
        <x:f>IF('作業計画'!R56="","",'作業計画'!R56)</x:f>
      </x:c>
      <x:c r="AH56" s="289" t="n">
        <x:f>'作業計画'!S56</x:f>
        <x:v>1</x:v>
      </x:c>
      <x:c r="AI56" s="289" t="n">
        <x:f>'作業計画'!T56</x:f>
        <x:v>0</x:v>
      </x:c>
      <x:c r="AJ56" s="305" t="n">
        <x:f>'作業計画'!U56</x:f>
        <x:v>0</x:v>
      </x:c>
      <x:c r="AK56" s="289" t="str">
        <x:f>'作業計画'!V56</x:f>
        <x:v>予定前</x:v>
      </x:c>
      <x:c r="AL56" s="289" t="str">
        <x:f>'作業計画'!W56</x:f>
        <x:v>44</x:v>
      </x:c>
      <x:c r="AM56" s="289" t="str">
        <x:f>'作業計画'!J56&amp;IF('作業計画'!K56="",""," / "&amp;'作業計画'!K56)&amp;IF('作業計画'!L56="",""," / "&amp;'作業計画'!L56)</x:f>
        <x:v>00047 / 00046 / 00036</x:v>
      </x:c>
      <x:c r="AN56" s="250" t="str">
        <x:f>'作業計画'!Y56</x:f>
        <x:v>設計に対応するView一式</x:v>
      </x:c>
      <x:c r="AO56" s="250" t="str">
        <x:f>IF('作業計画'!Z56="","",'作業計画'!Z56)</x:f>
        <x:v>Viewの件数は未提示のため1式で管理。</x:v>
      </x:c>
      <x:c r="AP56" s="251" t="str">
        <x:f>'作業計画'!X56</x:f>
        <x:v>原資料展開</x:v>
      </x:c>
    </x:row>
    <x:row r="57" ht="54" customHeight="1">
      <x:c r="A57" s="458" t="str">
        <x:f>'作業計画'!A57</x:f>
        <x:v>00051</x:v>
      </x:c>
      <x:c r="B57" s="330" t="str">
        <x:f>'作業計画'!B57</x:f>
        <x:v>04.開発</x:v>
      </x:c>
      <x:c r="C57" s="253" t="str">
        <x:f>'作業計画'!C57</x:f>
        <x:v>Product：加工Notebook作成</x:v>
      </x:c>
      <x:c r="D57" s="253" t="str">
        <x:f>'作業計画'!D57</x:f>
        <x:v>開発担当（要確定）</x:v>
      </x:c>
      <x:c r="E57" s="253" t="str">
        <x:f>'作業計画'!E57</x:f>
        <x:v>Fabric Notebook</x:v>
      </x:c>
      <x:c r="F57" s="291" t="str">
        <x:f>'作業計画'!F57</x:f>
        <x:v>2.中</x:v>
      </x:c>
      <x:c r="G57" s="291" t="str">
        <x:f>'作業計画'!G57</x:f>
        <x:v>00.未確認</x:v>
      </x:c>
      <x:c r="H57" s="306" t="str">
        <x:f>IF('作業計画'!$H57="設計",IF('作業計画'!O57="","",'作業計画'!O57),"")</x:f>
      </x:c>
      <x:c r="I57" s="306" t="str">
        <x:f>IF('作業計画'!$H57="設計",IF('作業計画'!P57="","",'作業計画'!P57),"")</x:f>
      </x:c>
      <x:c r="J57" s="306" t="str">
        <x:f>IF('作業計画'!$H57="設計",IF('作業計画'!Q57="","",'作業計画'!Q57),"")</x:f>
      </x:c>
      <x:c r="K57" s="306" t="str">
        <x:f>IF('作業計画'!$H57="設計",IF('作業計画'!R57="","",'作業計画'!R57),"")</x:f>
      </x:c>
      <x:c r="L57" s="307" t="str">
        <x:f>IF('作業計画'!$H57="設計",'作業計画'!U57,"")</x:f>
      </x:c>
      <x:c r="M57" s="291" t="str">
        <x:f>IF('作業計画'!$H57="設計",'作業計画'!V57,"")</x:f>
      </x:c>
      <x:c r="N57" s="306" t="n">
        <x:f>IF('作業計画'!$H57="開発",IF('作業計画'!O57="","",'作業計画'!O57),"")</x:f>
        <x:v>46384</x:v>
      </x:c>
      <x:c r="O57" s="306" t="n">
        <x:f>IF('作業計画'!$H57="開発",IF('作業計画'!P57="","",'作業計画'!P57),"")</x:f>
        <x:v>46388</x:v>
      </x:c>
      <x:c r="P57" s="306" t="str">
        <x:f>IF('作業計画'!$H57="開発",IF('作業計画'!Q57="","",'作業計画'!Q57),"")</x:f>
      </x:c>
      <x:c r="Q57" s="306" t="str">
        <x:f>IF('作業計画'!$H57="開発",IF('作業計画'!R57="","",'作業計画'!R57),"")</x:f>
      </x:c>
      <x:c r="R57" s="291" t="n">
        <x:f>IF('作業計画'!$H57="開発",'作業計画'!S57,"")</x:f>
        <x:v>1</x:v>
      </x:c>
      <x:c r="S57" s="291" t="n">
        <x:f>IF('作業計画'!$H57="開発",'作業計画'!T57,"")</x:f>
        <x:v>0</x:v>
      </x:c>
      <x:c r="T57" s="307" t="n">
        <x:f>IF('作業計画'!$H57="開発",'作業計画'!U57,"")</x:f>
        <x:v>0</x:v>
      </x:c>
      <x:c r="U57" s="291" t="str">
        <x:f>IF('作業計画'!$H57="開発",'作業計画'!V57,"")</x:f>
        <x:v>予定前</x:v>
      </x:c>
      <x:c r="V57" s="306" t="str">
        <x:f>IF('作業計画'!$H57="テスト",IF('作業計画'!O57="","",'作業計画'!O57),"")</x:f>
      </x:c>
      <x:c r="W57" s="306" t="str">
        <x:f>IF('作業計画'!$H57="テスト",IF('作業計画'!P57="","",'作業計画'!P57),"")</x:f>
      </x:c>
      <x:c r="X57" s="306" t="str">
        <x:f>IF('作業計画'!$H57="テスト",IF('作業計画'!Q57="","",'作業計画'!Q57),"")</x:f>
      </x:c>
      <x:c r="Y57" s="306" t="str">
        <x:f>IF('作業計画'!$H57="テスト",IF('作業計画'!R57="","",'作業計画'!R57),"")</x:f>
      </x:c>
      <x:c r="Z57" s="291" t="str">
        <x:f>IF('作業計画'!$H57="テスト",'作業計画'!S57,"")</x:f>
      </x:c>
      <x:c r="AA57" s="291" t="str">
        <x:f>IF('作業計画'!$H57="テスト",'作業計画'!T57,"")</x:f>
      </x:c>
      <x:c r="AB57" s="307" t="str">
        <x:f>IF('作業計画'!$H57="テスト",'作業計画'!U57,"")</x:f>
      </x:c>
      <x:c r="AC57" s="291" t="str">
        <x:f>IF('作業計画'!$H57="テスト",'作業計画'!V57,"")</x:f>
      </x:c>
      <x:c r="AD57" s="306" t="n">
        <x:f>IF('作業計画'!O57="","",'作業計画'!O57)</x:f>
        <x:v>46384</x:v>
      </x:c>
      <x:c r="AE57" s="306" t="n">
        <x:f>IF('作業計画'!P57="","",'作業計画'!P57)</x:f>
        <x:v>46388</x:v>
      </x:c>
      <x:c r="AF57" s="306" t="str">
        <x:f>IF('作業計画'!Q57="","",'作業計画'!Q57)</x:f>
      </x:c>
      <x:c r="AG57" s="306" t="str">
        <x:f>IF('作業計画'!R57="","",'作業計画'!R57)</x:f>
      </x:c>
      <x:c r="AH57" s="291" t="n">
        <x:f>'作業計画'!S57</x:f>
        <x:v>1</x:v>
      </x:c>
      <x:c r="AI57" s="291" t="n">
        <x:f>'作業計画'!T57</x:f>
        <x:v>0</x:v>
      </x:c>
      <x:c r="AJ57" s="307" t="n">
        <x:f>'作業計画'!U57</x:f>
        <x:v>0</x:v>
      </x:c>
      <x:c r="AK57" s="291" t="str">
        <x:f>'作業計画'!V57</x:f>
        <x:v>予定前</x:v>
      </x:c>
      <x:c r="AL57" s="291" t="str">
        <x:f>'作業計画'!W57</x:f>
        <x:v>45</x:v>
      </x:c>
      <x:c r="AM57" s="291" t="str">
        <x:f>'作業計画'!J57&amp;IF('作業計画'!K57="",""," / "&amp;'作業計画'!K57)&amp;IF('作業計画'!L57="",""," / "&amp;'作業計画'!L57)</x:f>
        <x:v>00050 / 00048 / 00032</x:v>
      </x:c>
      <x:c r="AN57" s="253" t="str">
        <x:f>'作業計画'!Y57</x:f>
        <x:v>Productの加工Notebook・マッピング・共通関数呼出し</x:v>
      </x:c>
      <x:c r="AO57" s="253" t="str">
        <x:f>IF('作業計画'!Z57="","",'作業計画'!Z57)</x:f>
        <x:v>5テーブル×各1件の計画案。Notebook数は要件確定後に見直す。</x:v>
      </x:c>
      <x:c r="AP57" s="254" t="str">
        <x:f>'作業計画'!X57</x:f>
        <x:v>原資料展開</x:v>
      </x:c>
    </x:row>
    <x:row r="58" ht="54" customHeight="1">
      <x:c r="A58" s="457" t="str">
        <x:f>'作業計画'!A58</x:f>
        <x:v>00052</x:v>
      </x:c>
      <x:c r="B58" s="330" t="str">
        <x:f>'作業計画'!B58</x:f>
        <x:v>04.開発</x:v>
      </x:c>
      <x:c r="C58" s="250" t="str">
        <x:f>'作業計画'!C58</x:f>
        <x:v>Contact：加工Notebook作成</x:v>
      </x:c>
      <x:c r="D58" s="250" t="str">
        <x:f>'作業計画'!D58</x:f>
        <x:v>開発担当（要確定）</x:v>
      </x:c>
      <x:c r="E58" s="250" t="str">
        <x:f>'作業計画'!E58</x:f>
        <x:v>Fabric Notebook</x:v>
      </x:c>
      <x:c r="F58" s="289" t="str">
        <x:f>'作業計画'!F58</x:f>
        <x:v>2.中</x:v>
      </x:c>
      <x:c r="G58" s="289" t="str">
        <x:f>'作業計画'!G58</x:f>
        <x:v>00.未確認</x:v>
      </x:c>
      <x:c r="H58" s="304" t="str">
        <x:f>IF('作業計画'!$H58="設計",IF('作業計画'!O58="","",'作業計画'!O58),"")</x:f>
      </x:c>
      <x:c r="I58" s="304" t="str">
        <x:f>IF('作業計画'!$H58="設計",IF('作業計画'!P58="","",'作業計画'!P58),"")</x:f>
      </x:c>
      <x:c r="J58" s="304" t="str">
        <x:f>IF('作業計画'!$H58="設計",IF('作業計画'!Q58="","",'作業計画'!Q58),"")</x:f>
      </x:c>
      <x:c r="K58" s="304" t="str">
        <x:f>IF('作業計画'!$H58="設計",IF('作業計画'!R58="","",'作業計画'!R58),"")</x:f>
      </x:c>
      <x:c r="L58" s="305" t="str">
        <x:f>IF('作業計画'!$H58="設計",'作業計画'!U58,"")</x:f>
      </x:c>
      <x:c r="M58" s="289" t="str">
        <x:f>IF('作業計画'!$H58="設計",'作業計画'!V58,"")</x:f>
      </x:c>
      <x:c r="N58" s="304" t="n">
        <x:f>IF('作業計画'!$H58="開発",IF('作業計画'!O58="","",'作業計画'!O58),"")</x:f>
        <x:v>46384</x:v>
      </x:c>
      <x:c r="O58" s="304" t="n">
        <x:f>IF('作業計画'!$H58="開発",IF('作業計画'!P58="","",'作業計画'!P58),"")</x:f>
        <x:v>46388</x:v>
      </x:c>
      <x:c r="P58" s="304" t="str">
        <x:f>IF('作業計画'!$H58="開発",IF('作業計画'!Q58="","",'作業計画'!Q58),"")</x:f>
      </x:c>
      <x:c r="Q58" s="304" t="str">
        <x:f>IF('作業計画'!$H58="開発",IF('作業計画'!R58="","",'作業計画'!R58),"")</x:f>
      </x:c>
      <x:c r="R58" s="289" t="n">
        <x:f>IF('作業計画'!$H58="開発",'作業計画'!S58,"")</x:f>
        <x:v>1</x:v>
      </x:c>
      <x:c r="S58" s="289" t="n">
        <x:f>IF('作業計画'!$H58="開発",'作業計画'!T58,"")</x:f>
        <x:v>0</x:v>
      </x:c>
      <x:c r="T58" s="305" t="n">
        <x:f>IF('作業計画'!$H58="開発",'作業計画'!U58,"")</x:f>
        <x:v>0</x:v>
      </x:c>
      <x:c r="U58" s="289" t="str">
        <x:f>IF('作業計画'!$H58="開発",'作業計画'!V58,"")</x:f>
        <x:v>予定前</x:v>
      </x:c>
      <x:c r="V58" s="304" t="str">
        <x:f>IF('作業計画'!$H58="テスト",IF('作業計画'!O58="","",'作業計画'!O58),"")</x:f>
      </x:c>
      <x:c r="W58" s="304" t="str">
        <x:f>IF('作業計画'!$H58="テスト",IF('作業計画'!P58="","",'作業計画'!P58),"")</x:f>
      </x:c>
      <x:c r="X58" s="304" t="str">
        <x:f>IF('作業計画'!$H58="テスト",IF('作業計画'!Q58="","",'作業計画'!Q58),"")</x:f>
      </x:c>
      <x:c r="Y58" s="304" t="str">
        <x:f>IF('作業計画'!$H58="テスト",IF('作業計画'!R58="","",'作業計画'!R58),"")</x:f>
      </x:c>
      <x:c r="Z58" s="289" t="str">
        <x:f>IF('作業計画'!$H58="テスト",'作業計画'!S58,"")</x:f>
      </x:c>
      <x:c r="AA58" s="289" t="str">
        <x:f>IF('作業計画'!$H58="テスト",'作業計画'!T58,"")</x:f>
      </x:c>
      <x:c r="AB58" s="305" t="str">
        <x:f>IF('作業計画'!$H58="テスト",'作業計画'!U58,"")</x:f>
      </x:c>
      <x:c r="AC58" s="289" t="str">
        <x:f>IF('作業計画'!$H58="テスト",'作業計画'!V58,"")</x:f>
      </x:c>
      <x:c r="AD58" s="304" t="n">
        <x:f>IF('作業計画'!O58="","",'作業計画'!O58)</x:f>
        <x:v>46384</x:v>
      </x:c>
      <x:c r="AE58" s="304" t="n">
        <x:f>IF('作業計画'!P58="","",'作業計画'!P58)</x:f>
        <x:v>46388</x:v>
      </x:c>
      <x:c r="AF58" s="304" t="str">
        <x:f>IF('作業計画'!Q58="","",'作業計画'!Q58)</x:f>
      </x:c>
      <x:c r="AG58" s="304" t="str">
        <x:f>IF('作業計画'!R58="","",'作業計画'!R58)</x:f>
      </x:c>
      <x:c r="AH58" s="289" t="n">
        <x:f>'作業計画'!S58</x:f>
        <x:v>1</x:v>
      </x:c>
      <x:c r="AI58" s="289" t="n">
        <x:f>'作業計画'!T58</x:f>
        <x:v>0</x:v>
      </x:c>
      <x:c r="AJ58" s="305" t="n">
        <x:f>'作業計画'!U58</x:f>
        <x:v>0</x:v>
      </x:c>
      <x:c r="AK58" s="289" t="str">
        <x:f>'作業計画'!V58</x:f>
        <x:v>予定前</x:v>
      </x:c>
      <x:c r="AL58" s="289" t="str">
        <x:f>'作業計画'!W58</x:f>
        <x:v>45</x:v>
      </x:c>
      <x:c r="AM58" s="289" t="str">
        <x:f>'作業計画'!J58&amp;IF('作業計画'!K58="",""," / "&amp;'作業計画'!K58)&amp;IF('作業計画'!L58="",""," / "&amp;'作業計画'!L58)</x:f>
        <x:v>00050 / 00048 / 00033</x:v>
      </x:c>
      <x:c r="AN58" s="250" t="str">
        <x:f>'作業計画'!Y58</x:f>
        <x:v>Contactの加工Notebook・マッピング・共通関数呼出し</x:v>
      </x:c>
      <x:c r="AO58" s="250" t="str">
        <x:f>IF('作業計画'!Z58="","",'作業計画'!Z58)</x:f>
        <x:v>5テーブル×各1件の計画案。Notebook数は要件確定後に見直す。</x:v>
      </x:c>
      <x:c r="AP58" s="251" t="str">
        <x:f>'作業計画'!X58</x:f>
        <x:v>原資料展開</x:v>
      </x:c>
    </x:row>
    <x:row r="59" ht="54" customHeight="1">
      <x:c r="A59" s="458" t="str">
        <x:f>'作業計画'!A59</x:f>
        <x:v>00053</x:v>
      </x:c>
      <x:c r="B59" s="330" t="str">
        <x:f>'作業計画'!B59</x:f>
        <x:v>04.開発</x:v>
      </x:c>
      <x:c r="C59" s="253" t="str">
        <x:f>'作業計画'!C59</x:f>
        <x:v>Account：加工Notebook作成</x:v>
      </x:c>
      <x:c r="D59" s="253" t="str">
        <x:f>'作業計画'!D59</x:f>
        <x:v>開発担当（要確定）</x:v>
      </x:c>
      <x:c r="E59" s="253" t="str">
        <x:f>'作業計画'!E59</x:f>
        <x:v>Fabric Notebook</x:v>
      </x:c>
      <x:c r="F59" s="291" t="str">
        <x:f>'作業計画'!F59</x:f>
        <x:v>2.中</x:v>
      </x:c>
      <x:c r="G59" s="291" t="str">
        <x:f>'作業計画'!G59</x:f>
        <x:v>00.未確認</x:v>
      </x:c>
      <x:c r="H59" s="306" t="str">
        <x:f>IF('作業計画'!$H59="設計",IF('作業計画'!O59="","",'作業計画'!O59),"")</x:f>
      </x:c>
      <x:c r="I59" s="306" t="str">
        <x:f>IF('作業計画'!$H59="設計",IF('作業計画'!P59="","",'作業計画'!P59),"")</x:f>
      </x:c>
      <x:c r="J59" s="306" t="str">
        <x:f>IF('作業計画'!$H59="設計",IF('作業計画'!Q59="","",'作業計画'!Q59),"")</x:f>
      </x:c>
      <x:c r="K59" s="306" t="str">
        <x:f>IF('作業計画'!$H59="設計",IF('作業計画'!R59="","",'作業計画'!R59),"")</x:f>
      </x:c>
      <x:c r="L59" s="307" t="str">
        <x:f>IF('作業計画'!$H59="設計",'作業計画'!U59,"")</x:f>
      </x:c>
      <x:c r="M59" s="291" t="str">
        <x:f>IF('作業計画'!$H59="設計",'作業計画'!V59,"")</x:f>
      </x:c>
      <x:c r="N59" s="306" t="n">
        <x:f>IF('作業計画'!$H59="開発",IF('作業計画'!O59="","",'作業計画'!O59),"")</x:f>
        <x:v>46384</x:v>
      </x:c>
      <x:c r="O59" s="306" t="n">
        <x:f>IF('作業計画'!$H59="開発",IF('作業計画'!P59="","",'作業計画'!P59),"")</x:f>
        <x:v>46388</x:v>
      </x:c>
      <x:c r="P59" s="306" t="str">
        <x:f>IF('作業計画'!$H59="開発",IF('作業計画'!Q59="","",'作業計画'!Q59),"")</x:f>
      </x:c>
      <x:c r="Q59" s="306" t="str">
        <x:f>IF('作業計画'!$H59="開発",IF('作業計画'!R59="","",'作業計画'!R59),"")</x:f>
      </x:c>
      <x:c r="R59" s="291" t="n">
        <x:f>IF('作業計画'!$H59="開発",'作業計画'!S59,"")</x:f>
        <x:v>1</x:v>
      </x:c>
      <x:c r="S59" s="291" t="n">
        <x:f>IF('作業計画'!$H59="開発",'作業計画'!T59,"")</x:f>
        <x:v>0</x:v>
      </x:c>
      <x:c r="T59" s="307" t="n">
        <x:f>IF('作業計画'!$H59="開発",'作業計画'!U59,"")</x:f>
        <x:v>0</x:v>
      </x:c>
      <x:c r="U59" s="291" t="str">
        <x:f>IF('作業計画'!$H59="開発",'作業計画'!V59,"")</x:f>
        <x:v>予定前</x:v>
      </x:c>
      <x:c r="V59" s="306" t="str">
        <x:f>IF('作業計画'!$H59="テスト",IF('作業計画'!O59="","",'作業計画'!O59),"")</x:f>
      </x:c>
      <x:c r="W59" s="306" t="str">
        <x:f>IF('作業計画'!$H59="テスト",IF('作業計画'!P59="","",'作業計画'!P59),"")</x:f>
      </x:c>
      <x:c r="X59" s="306" t="str">
        <x:f>IF('作業計画'!$H59="テスト",IF('作業計画'!Q59="","",'作業計画'!Q59),"")</x:f>
      </x:c>
      <x:c r="Y59" s="306" t="str">
        <x:f>IF('作業計画'!$H59="テスト",IF('作業計画'!R59="","",'作業計画'!R59),"")</x:f>
      </x:c>
      <x:c r="Z59" s="291" t="str">
        <x:f>IF('作業計画'!$H59="テスト",'作業計画'!S59,"")</x:f>
      </x:c>
      <x:c r="AA59" s="291" t="str">
        <x:f>IF('作業計画'!$H59="テスト",'作業計画'!T59,"")</x:f>
      </x:c>
      <x:c r="AB59" s="307" t="str">
        <x:f>IF('作業計画'!$H59="テスト",'作業計画'!U59,"")</x:f>
      </x:c>
      <x:c r="AC59" s="291" t="str">
        <x:f>IF('作業計画'!$H59="テスト",'作業計画'!V59,"")</x:f>
      </x:c>
      <x:c r="AD59" s="306" t="n">
        <x:f>IF('作業計画'!O59="","",'作業計画'!O59)</x:f>
        <x:v>46384</x:v>
      </x:c>
      <x:c r="AE59" s="306" t="n">
        <x:f>IF('作業計画'!P59="","",'作業計画'!P59)</x:f>
        <x:v>46388</x:v>
      </x:c>
      <x:c r="AF59" s="306" t="str">
        <x:f>IF('作業計画'!Q59="","",'作業計画'!Q59)</x:f>
      </x:c>
      <x:c r="AG59" s="306" t="str">
        <x:f>IF('作業計画'!R59="","",'作業計画'!R59)</x:f>
      </x:c>
      <x:c r="AH59" s="291" t="n">
        <x:f>'作業計画'!S59</x:f>
        <x:v>1</x:v>
      </x:c>
      <x:c r="AI59" s="291" t="n">
        <x:f>'作業計画'!T59</x:f>
        <x:v>0</x:v>
      </x:c>
      <x:c r="AJ59" s="307" t="n">
        <x:f>'作業計画'!U59</x:f>
        <x:v>0</x:v>
      </x:c>
      <x:c r="AK59" s="291" t="str">
        <x:f>'作業計画'!V59</x:f>
        <x:v>予定前</x:v>
      </x:c>
      <x:c r="AL59" s="291" t="str">
        <x:f>'作業計画'!W59</x:f>
        <x:v>45</x:v>
      </x:c>
      <x:c r="AM59" s="291" t="str">
        <x:f>'作業計画'!J59&amp;IF('作業計画'!K59="",""," / "&amp;'作業計画'!K59)&amp;IF('作業計画'!L59="",""," / "&amp;'作業計画'!L59)</x:f>
        <x:v>00050 / 00048 / 00034</x:v>
      </x:c>
      <x:c r="AN59" s="253" t="str">
        <x:f>'作業計画'!Y59</x:f>
        <x:v>Accountの加工Notebook・マッピング・共通関数呼出し</x:v>
      </x:c>
      <x:c r="AO59" s="253" t="str">
        <x:f>IF('作業計画'!Z59="","",'作業計画'!Z59)</x:f>
        <x:v>5テーブル×各1件の計画案。Notebook数は要件確定後に見直す。</x:v>
      </x:c>
      <x:c r="AP59" s="254" t="str">
        <x:f>'作業計画'!X59</x:f>
        <x:v>原資料展開</x:v>
      </x:c>
    </x:row>
    <x:row r="60" ht="54" customHeight="1">
      <x:c r="A60" s="457" t="str">
        <x:f>'作業計画'!A60</x:f>
        <x:v>00054</x:v>
      </x:c>
      <x:c r="B60" s="330" t="str">
        <x:f>'作業計画'!B60</x:f>
        <x:v>04.開発</x:v>
      </x:c>
      <x:c r="C60" s="250" t="str">
        <x:f>'作業計画'!C60</x:f>
        <x:v>AccountContact：加工Notebook作成</x:v>
      </x:c>
      <x:c r="D60" s="250" t="str">
        <x:f>'作業計画'!D60</x:f>
        <x:v>開発担当（要確定）</x:v>
      </x:c>
      <x:c r="E60" s="250" t="str">
        <x:f>'作業計画'!E60</x:f>
        <x:v>Fabric Notebook</x:v>
      </x:c>
      <x:c r="F60" s="289" t="str">
        <x:f>'作業計画'!F60</x:f>
        <x:v>2.中</x:v>
      </x:c>
      <x:c r="G60" s="289" t="str">
        <x:f>'作業計画'!G60</x:f>
        <x:v>00.未確認</x:v>
      </x:c>
      <x:c r="H60" s="304" t="str">
        <x:f>IF('作業計画'!$H60="設計",IF('作業計画'!O60="","",'作業計画'!O60),"")</x:f>
      </x:c>
      <x:c r="I60" s="304" t="str">
        <x:f>IF('作業計画'!$H60="設計",IF('作業計画'!P60="","",'作業計画'!P60),"")</x:f>
      </x:c>
      <x:c r="J60" s="304" t="str">
        <x:f>IF('作業計画'!$H60="設計",IF('作業計画'!Q60="","",'作業計画'!Q60),"")</x:f>
      </x:c>
      <x:c r="K60" s="304" t="str">
        <x:f>IF('作業計画'!$H60="設計",IF('作業計画'!R60="","",'作業計画'!R60),"")</x:f>
      </x:c>
      <x:c r="L60" s="305" t="str">
        <x:f>IF('作業計画'!$H60="設計",'作業計画'!U60,"")</x:f>
      </x:c>
      <x:c r="M60" s="289" t="str">
        <x:f>IF('作業計画'!$H60="設計",'作業計画'!V60,"")</x:f>
      </x:c>
      <x:c r="N60" s="304" t="n">
        <x:f>IF('作業計画'!$H60="開発",IF('作業計画'!O60="","",'作業計画'!O60),"")</x:f>
        <x:v>46384</x:v>
      </x:c>
      <x:c r="O60" s="304" t="n">
        <x:f>IF('作業計画'!$H60="開発",IF('作業計画'!P60="","",'作業計画'!P60),"")</x:f>
        <x:v>46388</x:v>
      </x:c>
      <x:c r="P60" s="304" t="str">
        <x:f>IF('作業計画'!$H60="開発",IF('作業計画'!Q60="","",'作業計画'!Q60),"")</x:f>
      </x:c>
      <x:c r="Q60" s="304" t="str">
        <x:f>IF('作業計画'!$H60="開発",IF('作業計画'!R60="","",'作業計画'!R60),"")</x:f>
      </x:c>
      <x:c r="R60" s="289" t="n">
        <x:f>IF('作業計画'!$H60="開発",'作業計画'!S60,"")</x:f>
        <x:v>1</x:v>
      </x:c>
      <x:c r="S60" s="289" t="n">
        <x:f>IF('作業計画'!$H60="開発",'作業計画'!T60,"")</x:f>
        <x:v>0</x:v>
      </x:c>
      <x:c r="T60" s="305" t="n">
        <x:f>IF('作業計画'!$H60="開発",'作業計画'!U60,"")</x:f>
        <x:v>0</x:v>
      </x:c>
      <x:c r="U60" s="289" t="str">
        <x:f>IF('作業計画'!$H60="開発",'作業計画'!V60,"")</x:f>
        <x:v>予定前</x:v>
      </x:c>
      <x:c r="V60" s="304" t="str">
        <x:f>IF('作業計画'!$H60="テスト",IF('作業計画'!O60="","",'作業計画'!O60),"")</x:f>
      </x:c>
      <x:c r="W60" s="304" t="str">
        <x:f>IF('作業計画'!$H60="テスト",IF('作業計画'!P60="","",'作業計画'!P60),"")</x:f>
      </x:c>
      <x:c r="X60" s="304" t="str">
        <x:f>IF('作業計画'!$H60="テスト",IF('作業計画'!Q60="","",'作業計画'!Q60),"")</x:f>
      </x:c>
      <x:c r="Y60" s="304" t="str">
        <x:f>IF('作業計画'!$H60="テスト",IF('作業計画'!R60="","",'作業計画'!R60),"")</x:f>
      </x:c>
      <x:c r="Z60" s="289" t="str">
        <x:f>IF('作業計画'!$H60="テスト",'作業計画'!S60,"")</x:f>
      </x:c>
      <x:c r="AA60" s="289" t="str">
        <x:f>IF('作業計画'!$H60="テスト",'作業計画'!T60,"")</x:f>
      </x:c>
      <x:c r="AB60" s="305" t="str">
        <x:f>IF('作業計画'!$H60="テスト",'作業計画'!U60,"")</x:f>
      </x:c>
      <x:c r="AC60" s="289" t="str">
        <x:f>IF('作業計画'!$H60="テスト",'作業計画'!V60,"")</x:f>
      </x:c>
      <x:c r="AD60" s="304" t="n">
        <x:f>IF('作業計画'!O60="","",'作業計画'!O60)</x:f>
        <x:v>46384</x:v>
      </x:c>
      <x:c r="AE60" s="304" t="n">
        <x:f>IF('作業計画'!P60="","",'作業計画'!P60)</x:f>
        <x:v>46388</x:v>
      </x:c>
      <x:c r="AF60" s="304" t="str">
        <x:f>IF('作業計画'!Q60="","",'作業計画'!Q60)</x:f>
      </x:c>
      <x:c r="AG60" s="304" t="str">
        <x:f>IF('作業計画'!R60="","",'作業計画'!R60)</x:f>
      </x:c>
      <x:c r="AH60" s="289" t="n">
        <x:f>'作業計画'!S60</x:f>
        <x:v>1</x:v>
      </x:c>
      <x:c r="AI60" s="289" t="n">
        <x:f>'作業計画'!T60</x:f>
        <x:v>0</x:v>
      </x:c>
      <x:c r="AJ60" s="305" t="n">
        <x:f>'作業計画'!U60</x:f>
        <x:v>0</x:v>
      </x:c>
      <x:c r="AK60" s="289" t="str">
        <x:f>'作業計画'!V60</x:f>
        <x:v>予定前</x:v>
      </x:c>
      <x:c r="AL60" s="289" t="str">
        <x:f>'作業計画'!W60</x:f>
        <x:v>45</x:v>
      </x:c>
      <x:c r="AM60" s="289" t="str">
        <x:f>'作業計画'!J60&amp;IF('作業計画'!K60="",""," / "&amp;'作業計画'!K60)&amp;IF('作業計画'!L60="",""," / "&amp;'作業計画'!L60)</x:f>
        <x:v>00050 / 00048 / 00035</x:v>
      </x:c>
      <x:c r="AN60" s="250" t="str">
        <x:f>'作業計画'!Y60</x:f>
        <x:v>AccountContactの加工Notebook・マッピング・共通関数呼出し</x:v>
      </x:c>
      <x:c r="AO60" s="250" t="str">
        <x:f>IF('作業計画'!Z60="","",'作業計画'!Z60)</x:f>
        <x:v>5テーブル×各1件の計画案。Notebook数は要件確定後に見直す。</x:v>
      </x:c>
      <x:c r="AP60" s="251" t="str">
        <x:f>'作業計画'!X60</x:f>
        <x:v>原資料展開</x:v>
      </x:c>
    </x:row>
    <x:row r="61" ht="54" customHeight="1">
      <x:c r="A61" s="458" t="str">
        <x:f>'作業計画'!A61</x:f>
        <x:v>00055</x:v>
      </x:c>
      <x:c r="B61" s="330" t="str">
        <x:f>'作業計画'!B61</x:f>
        <x:v>04.開発</x:v>
      </x:c>
      <x:c r="C61" s="253" t="str">
        <x:f>'作業計画'!C61</x:f>
        <x:v>SalesRepHospital：加工Notebook作成</x:v>
      </x:c>
      <x:c r="D61" s="253" t="str">
        <x:f>'作業計画'!D61</x:f>
        <x:v>開発担当（要確定）</x:v>
      </x:c>
      <x:c r="E61" s="253" t="str">
        <x:f>'作業計画'!E61</x:f>
        <x:v>Fabric Notebook</x:v>
      </x:c>
      <x:c r="F61" s="291" t="str">
        <x:f>'作業計画'!F61</x:f>
        <x:v>2.中</x:v>
      </x:c>
      <x:c r="G61" s="291" t="str">
        <x:f>'作業計画'!G61</x:f>
        <x:v>00.未確認</x:v>
      </x:c>
      <x:c r="H61" s="306" t="str">
        <x:f>IF('作業計画'!$H61="設計",IF('作業計画'!O61="","",'作業計画'!O61),"")</x:f>
      </x:c>
      <x:c r="I61" s="306" t="str">
        <x:f>IF('作業計画'!$H61="設計",IF('作業計画'!P61="","",'作業計画'!P61),"")</x:f>
      </x:c>
      <x:c r="J61" s="306" t="str">
        <x:f>IF('作業計画'!$H61="設計",IF('作業計画'!Q61="","",'作業計画'!Q61),"")</x:f>
      </x:c>
      <x:c r="K61" s="306" t="str">
        <x:f>IF('作業計画'!$H61="設計",IF('作業計画'!R61="","",'作業計画'!R61),"")</x:f>
      </x:c>
      <x:c r="L61" s="307" t="str">
        <x:f>IF('作業計画'!$H61="設計",'作業計画'!U61,"")</x:f>
      </x:c>
      <x:c r="M61" s="291" t="str">
        <x:f>IF('作業計画'!$H61="設計",'作業計画'!V61,"")</x:f>
      </x:c>
      <x:c r="N61" s="306" t="n">
        <x:f>IF('作業計画'!$H61="開発",IF('作業計画'!O61="","",'作業計画'!O61),"")</x:f>
        <x:v>46384</x:v>
      </x:c>
      <x:c r="O61" s="306" t="n">
        <x:f>IF('作業計画'!$H61="開発",IF('作業計画'!P61="","",'作業計画'!P61),"")</x:f>
        <x:v>46388</x:v>
      </x:c>
      <x:c r="P61" s="306" t="str">
        <x:f>IF('作業計画'!$H61="開発",IF('作業計画'!Q61="","",'作業計画'!Q61),"")</x:f>
      </x:c>
      <x:c r="Q61" s="306" t="str">
        <x:f>IF('作業計画'!$H61="開発",IF('作業計画'!R61="","",'作業計画'!R61),"")</x:f>
      </x:c>
      <x:c r="R61" s="291" t="n">
        <x:f>IF('作業計画'!$H61="開発",'作業計画'!S61,"")</x:f>
        <x:v>1</x:v>
      </x:c>
      <x:c r="S61" s="291" t="n">
        <x:f>IF('作業計画'!$H61="開発",'作業計画'!T61,"")</x:f>
        <x:v>0</x:v>
      </x:c>
      <x:c r="T61" s="307" t="n">
        <x:f>IF('作業計画'!$H61="開発",'作業計画'!U61,"")</x:f>
        <x:v>0</x:v>
      </x:c>
      <x:c r="U61" s="291" t="str">
        <x:f>IF('作業計画'!$H61="開発",'作業計画'!V61,"")</x:f>
        <x:v>予定前</x:v>
      </x:c>
      <x:c r="V61" s="306" t="str">
        <x:f>IF('作業計画'!$H61="テスト",IF('作業計画'!O61="","",'作業計画'!O61),"")</x:f>
      </x:c>
      <x:c r="W61" s="306" t="str">
        <x:f>IF('作業計画'!$H61="テスト",IF('作業計画'!P61="","",'作業計画'!P61),"")</x:f>
      </x:c>
      <x:c r="X61" s="306" t="str">
        <x:f>IF('作業計画'!$H61="テスト",IF('作業計画'!Q61="","",'作業計画'!Q61),"")</x:f>
      </x:c>
      <x:c r="Y61" s="306" t="str">
        <x:f>IF('作業計画'!$H61="テスト",IF('作業計画'!R61="","",'作業計画'!R61),"")</x:f>
      </x:c>
      <x:c r="Z61" s="291" t="str">
        <x:f>IF('作業計画'!$H61="テスト",'作業計画'!S61,"")</x:f>
      </x:c>
      <x:c r="AA61" s="291" t="str">
        <x:f>IF('作業計画'!$H61="テスト",'作業計画'!T61,"")</x:f>
      </x:c>
      <x:c r="AB61" s="307" t="str">
        <x:f>IF('作業計画'!$H61="テスト",'作業計画'!U61,"")</x:f>
      </x:c>
      <x:c r="AC61" s="291" t="str">
        <x:f>IF('作業計画'!$H61="テスト",'作業計画'!V61,"")</x:f>
      </x:c>
      <x:c r="AD61" s="306" t="n">
        <x:f>IF('作業計画'!O61="","",'作業計画'!O61)</x:f>
        <x:v>46384</x:v>
      </x:c>
      <x:c r="AE61" s="306" t="n">
        <x:f>IF('作業計画'!P61="","",'作業計画'!P61)</x:f>
        <x:v>46388</x:v>
      </x:c>
      <x:c r="AF61" s="306" t="str">
        <x:f>IF('作業計画'!Q61="","",'作業計画'!Q61)</x:f>
      </x:c>
      <x:c r="AG61" s="306" t="str">
        <x:f>IF('作業計画'!R61="","",'作業計画'!R61)</x:f>
      </x:c>
      <x:c r="AH61" s="291" t="n">
        <x:f>'作業計画'!S61</x:f>
        <x:v>1</x:v>
      </x:c>
      <x:c r="AI61" s="291" t="n">
        <x:f>'作業計画'!T61</x:f>
        <x:v>0</x:v>
      </x:c>
      <x:c r="AJ61" s="307" t="n">
        <x:f>'作業計画'!U61</x:f>
        <x:v>0</x:v>
      </x:c>
      <x:c r="AK61" s="291" t="str">
        <x:f>'作業計画'!V61</x:f>
        <x:v>予定前</x:v>
      </x:c>
      <x:c r="AL61" s="291" t="str">
        <x:f>'作業計画'!W61</x:f>
        <x:v>45</x:v>
      </x:c>
      <x:c r="AM61" s="291" t="str">
        <x:f>'作業計画'!J61&amp;IF('作業計画'!K61="",""," / "&amp;'作業計画'!K61)&amp;IF('作業計画'!L61="",""," / "&amp;'作業計画'!L61)</x:f>
        <x:v>00050 / 00048 / 00036</x:v>
      </x:c>
      <x:c r="AN61" s="253" t="str">
        <x:f>'作業計画'!Y61</x:f>
        <x:v>SalesRepHospitalの加工Notebook・マッピング・共通関数呼出し</x:v>
      </x:c>
      <x:c r="AO61" s="253" t="str">
        <x:f>IF('作業計画'!Z61="","",'作業計画'!Z61)</x:f>
        <x:v>5テーブル×各1件の計画案。Notebook数は要件確定後に見直す。</x:v>
      </x:c>
      <x:c r="AP61" s="254" t="str">
        <x:f>'作業計画'!X61</x:f>
        <x:v>原資料展開</x:v>
      </x:c>
    </x:row>
    <x:row r="62" ht="54" customHeight="1">
      <x:c r="A62" s="457" t="str">
        <x:f>'作業計画'!A62</x:f>
        <x:v>00056</x:v>
      </x:c>
      <x:c r="B62" s="330" t="str">
        <x:f>'作業計画'!B62</x:f>
        <x:v>04.開発</x:v>
      </x:c>
      <x:c r="C62" s="250" t="str">
        <x:f>'作業計画'!C62</x:f>
        <x:v>Product：GoldPipeline作成</x:v>
      </x:c>
      <x:c r="D62" s="250" t="str">
        <x:f>'作業計画'!D62</x:f>
        <x:v>開発担当（要確定）</x:v>
      </x:c>
      <x:c r="E62" s="250" t="str">
        <x:f>'作業計画'!E62</x:f>
        <x:v>GoldPipeline</x:v>
      </x:c>
      <x:c r="F62" s="289" t="str">
        <x:f>'作業計画'!F62</x:f>
        <x:v>2.中</x:v>
      </x:c>
      <x:c r="G62" s="289" t="str">
        <x:f>'作業計画'!G62</x:f>
        <x:v>00.未確認</x:v>
      </x:c>
      <x:c r="H62" s="304" t="str">
        <x:f>IF('作業計画'!$H62="設計",IF('作業計画'!O62="","",'作業計画'!O62),"")</x:f>
      </x:c>
      <x:c r="I62" s="304" t="str">
        <x:f>IF('作業計画'!$H62="設計",IF('作業計画'!P62="","",'作業計画'!P62),"")</x:f>
      </x:c>
      <x:c r="J62" s="304" t="str">
        <x:f>IF('作業計画'!$H62="設計",IF('作業計画'!Q62="","",'作業計画'!Q62),"")</x:f>
      </x:c>
      <x:c r="K62" s="304" t="str">
        <x:f>IF('作業計画'!$H62="設計",IF('作業計画'!R62="","",'作業計画'!R62),"")</x:f>
      </x:c>
      <x:c r="L62" s="305" t="str">
        <x:f>IF('作業計画'!$H62="設計",'作業計画'!U62,"")</x:f>
      </x:c>
      <x:c r="M62" s="289" t="str">
        <x:f>IF('作業計画'!$H62="設計",'作業計画'!V62,"")</x:f>
      </x:c>
      <x:c r="N62" s="304" t="n">
        <x:f>IF('作業計画'!$H62="開発",IF('作業計画'!O62="","",'作業計画'!O62),"")</x:f>
        <x:v>46391</x:v>
      </x:c>
      <x:c r="O62" s="304" t="n">
        <x:f>IF('作業計画'!$H62="開発",IF('作業計画'!P62="","",'作業計画'!P62),"")</x:f>
        <x:v>46392</x:v>
      </x:c>
      <x:c r="P62" s="304" t="str">
        <x:f>IF('作業計画'!$H62="開発",IF('作業計画'!Q62="","",'作業計画'!Q62),"")</x:f>
      </x:c>
      <x:c r="Q62" s="304" t="str">
        <x:f>IF('作業計画'!$H62="開発",IF('作業計画'!R62="","",'作業計画'!R62),"")</x:f>
      </x:c>
      <x:c r="R62" s="289" t="n">
        <x:f>IF('作業計画'!$H62="開発",'作業計画'!S62,"")</x:f>
        <x:v>1</x:v>
      </x:c>
      <x:c r="S62" s="289" t="n">
        <x:f>IF('作業計画'!$H62="開発",'作業計画'!T62,"")</x:f>
        <x:v>0</x:v>
      </x:c>
      <x:c r="T62" s="305" t="n">
        <x:f>IF('作業計画'!$H62="開発",'作業計画'!U62,"")</x:f>
        <x:v>0</x:v>
      </x:c>
      <x:c r="U62" s="289" t="str">
        <x:f>IF('作業計画'!$H62="開発",'作業計画'!V62,"")</x:f>
        <x:v>予定前</x:v>
      </x:c>
      <x:c r="V62" s="304" t="str">
        <x:f>IF('作業計画'!$H62="テスト",IF('作業計画'!O62="","",'作業計画'!O62),"")</x:f>
      </x:c>
      <x:c r="W62" s="304" t="str">
        <x:f>IF('作業計画'!$H62="テスト",IF('作業計画'!P62="","",'作業計画'!P62),"")</x:f>
      </x:c>
      <x:c r="X62" s="304" t="str">
        <x:f>IF('作業計画'!$H62="テスト",IF('作業計画'!Q62="","",'作業計画'!Q62),"")</x:f>
      </x:c>
      <x:c r="Y62" s="304" t="str">
        <x:f>IF('作業計画'!$H62="テスト",IF('作業計画'!R62="","",'作業計画'!R62),"")</x:f>
      </x:c>
      <x:c r="Z62" s="289" t="str">
        <x:f>IF('作業計画'!$H62="テスト",'作業計画'!S62,"")</x:f>
      </x:c>
      <x:c r="AA62" s="289" t="str">
        <x:f>IF('作業計画'!$H62="テスト",'作業計画'!T62,"")</x:f>
      </x:c>
      <x:c r="AB62" s="305" t="str">
        <x:f>IF('作業計画'!$H62="テスト",'作業計画'!U62,"")</x:f>
      </x:c>
      <x:c r="AC62" s="289" t="str">
        <x:f>IF('作業計画'!$H62="テスト",'作業計画'!V62,"")</x:f>
      </x:c>
      <x:c r="AD62" s="304" t="n">
        <x:f>IF('作業計画'!O62="","",'作業計画'!O62)</x:f>
        <x:v>46391</x:v>
      </x:c>
      <x:c r="AE62" s="304" t="n">
        <x:f>IF('作業計画'!P62="","",'作業計画'!P62)</x:f>
        <x:v>46392</x:v>
      </x:c>
      <x:c r="AF62" s="304" t="str">
        <x:f>IF('作業計画'!Q62="","",'作業計画'!Q62)</x:f>
      </x:c>
      <x:c r="AG62" s="304" t="str">
        <x:f>IF('作業計画'!R62="","",'作業計画'!R62)</x:f>
      </x:c>
      <x:c r="AH62" s="289" t="n">
        <x:f>'作業計画'!S62</x:f>
        <x:v>1</x:v>
      </x:c>
      <x:c r="AI62" s="289" t="n">
        <x:f>'作業計画'!T62</x:f>
        <x:v>0</x:v>
      </x:c>
      <x:c r="AJ62" s="305" t="n">
        <x:f>'作業計画'!U62</x:f>
        <x:v>0</x:v>
      </x:c>
      <x:c r="AK62" s="289" t="str">
        <x:f>'作業計画'!V62</x:f>
        <x:v>予定前</x:v>
      </x:c>
      <x:c r="AL62" s="289" t="str">
        <x:f>'作業計画'!W62</x:f>
        <x:v>41</x:v>
      </x:c>
      <x:c r="AM62" s="289" t="str">
        <x:f>'作業計画'!J62&amp;IF('作業計画'!K62="",""," / "&amp;'作業計画'!K62)&amp;IF('作業計画'!L62="",""," / "&amp;'作業計画'!L62)</x:f>
        <x:v>00051 / 00049</x:v>
      </x:c>
      <x:c r="AN62" s="250" t="str">
        <x:f>'作業計画'!Y62</x:f>
        <x:v>Productの実行・依存・例外制御を含むPipeline</x:v>
      </x:c>
      <x:c r="AO62" s="250" t="str">
        <x:f>IF('作業計画'!Z62="","",'作業計画'!Z62)</x:f>
        <x:v>各OUTPUTテーブル1件。作業の直列化は仮置き。</x:v>
      </x:c>
      <x:c r="AP62" s="251" t="str">
        <x:f>'作業計画'!X62</x:f>
        <x:v>原資料展開</x:v>
      </x:c>
    </x:row>
    <x:row r="63" ht="54" customHeight="1">
      <x:c r="A63" s="458" t="str">
        <x:f>'作業計画'!A63</x:f>
        <x:v>00057</x:v>
      </x:c>
      <x:c r="B63" s="330" t="str">
        <x:f>'作業計画'!B63</x:f>
        <x:v>04.開発</x:v>
      </x:c>
      <x:c r="C63" s="253" t="str">
        <x:f>'作業計画'!C63</x:f>
        <x:v>Contact：GoldPipeline作成</x:v>
      </x:c>
      <x:c r="D63" s="253" t="str">
        <x:f>'作業計画'!D63</x:f>
        <x:v>開発担当（要確定）</x:v>
      </x:c>
      <x:c r="E63" s="253" t="str">
        <x:f>'作業計画'!E63</x:f>
        <x:v>GoldPipeline</x:v>
      </x:c>
      <x:c r="F63" s="291" t="str">
        <x:f>'作業計画'!F63</x:f>
        <x:v>2.中</x:v>
      </x:c>
      <x:c r="G63" s="291" t="str">
        <x:f>'作業計画'!G63</x:f>
        <x:v>00.未確認</x:v>
      </x:c>
      <x:c r="H63" s="306" t="str">
        <x:f>IF('作業計画'!$H63="設計",IF('作業計画'!O63="","",'作業計画'!O63),"")</x:f>
      </x:c>
      <x:c r="I63" s="306" t="str">
        <x:f>IF('作業計画'!$H63="設計",IF('作業計画'!P63="","",'作業計画'!P63),"")</x:f>
      </x:c>
      <x:c r="J63" s="306" t="str">
        <x:f>IF('作業計画'!$H63="設計",IF('作業計画'!Q63="","",'作業計画'!Q63),"")</x:f>
      </x:c>
      <x:c r="K63" s="306" t="str">
        <x:f>IF('作業計画'!$H63="設計",IF('作業計画'!R63="","",'作業計画'!R63),"")</x:f>
      </x:c>
      <x:c r="L63" s="307" t="str">
        <x:f>IF('作業計画'!$H63="設計",'作業計画'!U63,"")</x:f>
      </x:c>
      <x:c r="M63" s="291" t="str">
        <x:f>IF('作業計画'!$H63="設計",'作業計画'!V63,"")</x:f>
      </x:c>
      <x:c r="N63" s="306" t="n">
        <x:f>IF('作業計画'!$H63="開発",IF('作業計画'!O63="","",'作業計画'!O63),"")</x:f>
        <x:v>46393</x:v>
      </x:c>
      <x:c r="O63" s="306" t="n">
        <x:f>IF('作業計画'!$H63="開発",IF('作業計画'!P63="","",'作業計画'!P63),"")</x:f>
        <x:v>46394</x:v>
      </x:c>
      <x:c r="P63" s="306" t="str">
        <x:f>IF('作業計画'!$H63="開発",IF('作業計画'!Q63="","",'作業計画'!Q63),"")</x:f>
      </x:c>
      <x:c r="Q63" s="306" t="str">
        <x:f>IF('作業計画'!$H63="開発",IF('作業計画'!R63="","",'作業計画'!R63),"")</x:f>
      </x:c>
      <x:c r="R63" s="291" t="n">
        <x:f>IF('作業計画'!$H63="開発",'作業計画'!S63,"")</x:f>
        <x:v>1</x:v>
      </x:c>
      <x:c r="S63" s="291" t="n">
        <x:f>IF('作業計画'!$H63="開発",'作業計画'!T63,"")</x:f>
        <x:v>0</x:v>
      </x:c>
      <x:c r="T63" s="307" t="n">
        <x:f>IF('作業計画'!$H63="開発",'作業計画'!U63,"")</x:f>
        <x:v>0</x:v>
      </x:c>
      <x:c r="U63" s="291" t="str">
        <x:f>IF('作業計画'!$H63="開発",'作業計画'!V63,"")</x:f>
        <x:v>予定前</x:v>
      </x:c>
      <x:c r="V63" s="306" t="str">
        <x:f>IF('作業計画'!$H63="テスト",IF('作業計画'!O63="","",'作業計画'!O63),"")</x:f>
      </x:c>
      <x:c r="W63" s="306" t="str">
        <x:f>IF('作業計画'!$H63="テスト",IF('作業計画'!P63="","",'作業計画'!P63),"")</x:f>
      </x:c>
      <x:c r="X63" s="306" t="str">
        <x:f>IF('作業計画'!$H63="テスト",IF('作業計画'!Q63="","",'作業計画'!Q63),"")</x:f>
      </x:c>
      <x:c r="Y63" s="306" t="str">
        <x:f>IF('作業計画'!$H63="テスト",IF('作業計画'!R63="","",'作業計画'!R63),"")</x:f>
      </x:c>
      <x:c r="Z63" s="291" t="str">
        <x:f>IF('作業計画'!$H63="テスト",'作業計画'!S63,"")</x:f>
      </x:c>
      <x:c r="AA63" s="291" t="str">
        <x:f>IF('作業計画'!$H63="テスト",'作業計画'!T63,"")</x:f>
      </x:c>
      <x:c r="AB63" s="307" t="str">
        <x:f>IF('作業計画'!$H63="テスト",'作業計画'!U63,"")</x:f>
      </x:c>
      <x:c r="AC63" s="291" t="str">
        <x:f>IF('作業計画'!$H63="テスト",'作業計画'!V63,"")</x:f>
      </x:c>
      <x:c r="AD63" s="306" t="n">
        <x:f>IF('作業計画'!O63="","",'作業計画'!O63)</x:f>
        <x:v>46393</x:v>
      </x:c>
      <x:c r="AE63" s="306" t="n">
        <x:f>IF('作業計画'!P63="","",'作業計画'!P63)</x:f>
        <x:v>46394</x:v>
      </x:c>
      <x:c r="AF63" s="306" t="str">
        <x:f>IF('作業計画'!Q63="","",'作業計画'!Q63)</x:f>
      </x:c>
      <x:c r="AG63" s="306" t="str">
        <x:f>IF('作業計画'!R63="","",'作業計画'!R63)</x:f>
      </x:c>
      <x:c r="AH63" s="291" t="n">
        <x:f>'作業計画'!S63</x:f>
        <x:v>1</x:v>
      </x:c>
      <x:c r="AI63" s="291" t="n">
        <x:f>'作業計画'!T63</x:f>
        <x:v>0</x:v>
      </x:c>
      <x:c r="AJ63" s="307" t="n">
        <x:f>'作業計画'!U63</x:f>
        <x:v>0</x:v>
      </x:c>
      <x:c r="AK63" s="291" t="str">
        <x:f>'作業計画'!V63</x:f>
        <x:v>予定前</x:v>
      </x:c>
      <x:c r="AL63" s="291" t="str">
        <x:f>'作業計画'!W63</x:f>
        <x:v>41</x:v>
      </x:c>
      <x:c r="AM63" s="291" t="str">
        <x:f>'作業計画'!J63&amp;IF('作業計画'!K63="",""," / "&amp;'作業計画'!K63)&amp;IF('作業計画'!L63="",""," / "&amp;'作業計画'!L63)</x:f>
        <x:v>00052 / 00049 / 00056</x:v>
      </x:c>
      <x:c r="AN63" s="253" t="str">
        <x:f>'作業計画'!Y63</x:f>
        <x:v>Contactの実行・依存・例外制御を含むPipeline</x:v>
      </x:c>
      <x:c r="AO63" s="253" t="str">
        <x:f>IF('作業計画'!Z63="","",'作業計画'!Z63)</x:f>
        <x:v>各OUTPUTテーブル1件。作業の直列化は仮置き。</x:v>
      </x:c>
      <x:c r="AP63" s="254" t="str">
        <x:f>'作業計画'!X63</x:f>
        <x:v>原資料展開</x:v>
      </x:c>
    </x:row>
    <x:row r="64" ht="54" customHeight="1">
      <x:c r="A64" s="457" t="str">
        <x:f>'作業計画'!A64</x:f>
        <x:v>00058</x:v>
      </x:c>
      <x:c r="B64" s="330" t="str">
        <x:f>'作業計画'!B64</x:f>
        <x:v>04.開発</x:v>
      </x:c>
      <x:c r="C64" s="250" t="str">
        <x:f>'作業計画'!C64</x:f>
        <x:v>Account：GoldPipeline作成</x:v>
      </x:c>
      <x:c r="D64" s="250" t="str">
        <x:f>'作業計画'!D64</x:f>
        <x:v>開発担当（要確定）</x:v>
      </x:c>
      <x:c r="E64" s="250" t="str">
        <x:f>'作業計画'!E64</x:f>
        <x:v>GoldPipeline</x:v>
      </x:c>
      <x:c r="F64" s="289" t="str">
        <x:f>'作業計画'!F64</x:f>
        <x:v>2.中</x:v>
      </x:c>
      <x:c r="G64" s="289" t="str">
        <x:f>'作業計画'!G64</x:f>
        <x:v>00.未確認</x:v>
      </x:c>
      <x:c r="H64" s="304" t="str">
        <x:f>IF('作業計画'!$H64="設計",IF('作業計画'!O64="","",'作業計画'!O64),"")</x:f>
      </x:c>
      <x:c r="I64" s="304" t="str">
        <x:f>IF('作業計画'!$H64="設計",IF('作業計画'!P64="","",'作業計画'!P64),"")</x:f>
      </x:c>
      <x:c r="J64" s="304" t="str">
        <x:f>IF('作業計画'!$H64="設計",IF('作業計画'!Q64="","",'作業計画'!Q64),"")</x:f>
      </x:c>
      <x:c r="K64" s="304" t="str">
        <x:f>IF('作業計画'!$H64="設計",IF('作業計画'!R64="","",'作業計画'!R64),"")</x:f>
      </x:c>
      <x:c r="L64" s="305" t="str">
        <x:f>IF('作業計画'!$H64="設計",'作業計画'!U64,"")</x:f>
      </x:c>
      <x:c r="M64" s="289" t="str">
        <x:f>IF('作業計画'!$H64="設計",'作業計画'!V64,"")</x:f>
      </x:c>
      <x:c r="N64" s="304" t="n">
        <x:f>IF('作業計画'!$H64="開発",IF('作業計画'!O64="","",'作業計画'!O64),"")</x:f>
        <x:v>46395</x:v>
      </x:c>
      <x:c r="O64" s="304" t="n">
        <x:f>IF('作業計画'!$H64="開発",IF('作業計画'!P64="","",'作業計画'!P64),"")</x:f>
        <x:v>46398</x:v>
      </x:c>
      <x:c r="P64" s="304" t="str">
        <x:f>IF('作業計画'!$H64="開発",IF('作業計画'!Q64="","",'作業計画'!Q64),"")</x:f>
      </x:c>
      <x:c r="Q64" s="304" t="str">
        <x:f>IF('作業計画'!$H64="開発",IF('作業計画'!R64="","",'作業計画'!R64),"")</x:f>
      </x:c>
      <x:c r="R64" s="289" t="n">
        <x:f>IF('作業計画'!$H64="開発",'作業計画'!S64,"")</x:f>
        <x:v>1</x:v>
      </x:c>
      <x:c r="S64" s="289" t="n">
        <x:f>IF('作業計画'!$H64="開発",'作業計画'!T64,"")</x:f>
        <x:v>0</x:v>
      </x:c>
      <x:c r="T64" s="305" t="n">
        <x:f>IF('作業計画'!$H64="開発",'作業計画'!U64,"")</x:f>
        <x:v>0</x:v>
      </x:c>
      <x:c r="U64" s="289" t="str">
        <x:f>IF('作業計画'!$H64="開発",'作業計画'!V64,"")</x:f>
        <x:v>予定前</x:v>
      </x:c>
      <x:c r="V64" s="304" t="str">
        <x:f>IF('作業計画'!$H64="テスト",IF('作業計画'!O64="","",'作業計画'!O64),"")</x:f>
      </x:c>
      <x:c r="W64" s="304" t="str">
        <x:f>IF('作業計画'!$H64="テスト",IF('作業計画'!P64="","",'作業計画'!P64),"")</x:f>
      </x:c>
      <x:c r="X64" s="304" t="str">
        <x:f>IF('作業計画'!$H64="テスト",IF('作業計画'!Q64="","",'作業計画'!Q64),"")</x:f>
      </x:c>
      <x:c r="Y64" s="304" t="str">
        <x:f>IF('作業計画'!$H64="テスト",IF('作業計画'!R64="","",'作業計画'!R64),"")</x:f>
      </x:c>
      <x:c r="Z64" s="289" t="str">
        <x:f>IF('作業計画'!$H64="テスト",'作業計画'!S64,"")</x:f>
      </x:c>
      <x:c r="AA64" s="289" t="str">
        <x:f>IF('作業計画'!$H64="テスト",'作業計画'!T64,"")</x:f>
      </x:c>
      <x:c r="AB64" s="305" t="str">
        <x:f>IF('作業計画'!$H64="テスト",'作業計画'!U64,"")</x:f>
      </x:c>
      <x:c r="AC64" s="289" t="str">
        <x:f>IF('作業計画'!$H64="テスト",'作業計画'!V64,"")</x:f>
      </x:c>
      <x:c r="AD64" s="304" t="n">
        <x:f>IF('作業計画'!O64="","",'作業計画'!O64)</x:f>
        <x:v>46395</x:v>
      </x:c>
      <x:c r="AE64" s="304" t="n">
        <x:f>IF('作業計画'!P64="","",'作業計画'!P64)</x:f>
        <x:v>46398</x:v>
      </x:c>
      <x:c r="AF64" s="304" t="str">
        <x:f>IF('作業計画'!Q64="","",'作業計画'!Q64)</x:f>
      </x:c>
      <x:c r="AG64" s="304" t="str">
        <x:f>IF('作業計画'!R64="","",'作業計画'!R64)</x:f>
      </x:c>
      <x:c r="AH64" s="289" t="n">
        <x:f>'作業計画'!S64</x:f>
        <x:v>1</x:v>
      </x:c>
      <x:c r="AI64" s="289" t="n">
        <x:f>'作業計画'!T64</x:f>
        <x:v>0</x:v>
      </x:c>
      <x:c r="AJ64" s="305" t="n">
        <x:f>'作業計画'!U64</x:f>
        <x:v>0</x:v>
      </x:c>
      <x:c r="AK64" s="289" t="str">
        <x:f>'作業計画'!V64</x:f>
        <x:v>予定前</x:v>
      </x:c>
      <x:c r="AL64" s="289" t="str">
        <x:f>'作業計画'!W64</x:f>
        <x:v>41</x:v>
      </x:c>
      <x:c r="AM64" s="289" t="str">
        <x:f>'作業計画'!J64&amp;IF('作業計画'!K64="",""," / "&amp;'作業計画'!K64)&amp;IF('作業計画'!L64="",""," / "&amp;'作業計画'!L64)</x:f>
        <x:v>00053 / 00049 / 00057</x:v>
      </x:c>
      <x:c r="AN64" s="250" t="str">
        <x:f>'作業計画'!Y64</x:f>
        <x:v>Accountの実行・依存・例外制御を含むPipeline</x:v>
      </x:c>
      <x:c r="AO64" s="250" t="str">
        <x:f>IF('作業計画'!Z64="","",'作業計画'!Z64)</x:f>
        <x:v>各OUTPUTテーブル1件。作業の直列化は仮置き。</x:v>
      </x:c>
      <x:c r="AP64" s="251" t="str">
        <x:f>'作業計画'!X64</x:f>
        <x:v>原資料展開</x:v>
      </x:c>
    </x:row>
    <x:row r="65" ht="54" customHeight="1">
      <x:c r="A65" s="458" t="str">
        <x:f>'作業計画'!A65</x:f>
        <x:v>00059</x:v>
      </x:c>
      <x:c r="B65" s="330" t="str">
        <x:f>'作業計画'!B65</x:f>
        <x:v>04.開発</x:v>
      </x:c>
      <x:c r="C65" s="253" t="str">
        <x:f>'作業計画'!C65</x:f>
        <x:v>AccountContact：GoldPipeline作成</x:v>
      </x:c>
      <x:c r="D65" s="253" t="str">
        <x:f>'作業計画'!D65</x:f>
        <x:v>開発担当（要確定）</x:v>
      </x:c>
      <x:c r="E65" s="253" t="str">
        <x:f>'作業計画'!E65</x:f>
        <x:v>GoldPipeline</x:v>
      </x:c>
      <x:c r="F65" s="291" t="str">
        <x:f>'作業計画'!F65</x:f>
        <x:v>2.中</x:v>
      </x:c>
      <x:c r="G65" s="291" t="str">
        <x:f>'作業計画'!G65</x:f>
        <x:v>00.未確認</x:v>
      </x:c>
      <x:c r="H65" s="306" t="str">
        <x:f>IF('作業計画'!$H65="設計",IF('作業計画'!O65="","",'作業計画'!O65),"")</x:f>
      </x:c>
      <x:c r="I65" s="306" t="str">
        <x:f>IF('作業計画'!$H65="設計",IF('作業計画'!P65="","",'作業計画'!P65),"")</x:f>
      </x:c>
      <x:c r="J65" s="306" t="str">
        <x:f>IF('作業計画'!$H65="設計",IF('作業計画'!Q65="","",'作業計画'!Q65),"")</x:f>
      </x:c>
      <x:c r="K65" s="306" t="str">
        <x:f>IF('作業計画'!$H65="設計",IF('作業計画'!R65="","",'作業計画'!R65),"")</x:f>
      </x:c>
      <x:c r="L65" s="307" t="str">
        <x:f>IF('作業計画'!$H65="設計",'作業計画'!U65,"")</x:f>
      </x:c>
      <x:c r="M65" s="291" t="str">
        <x:f>IF('作業計画'!$H65="設計",'作業計画'!V65,"")</x:f>
      </x:c>
      <x:c r="N65" s="306" t="n">
        <x:f>IF('作業計画'!$H65="開発",IF('作業計画'!O65="","",'作業計画'!O65),"")</x:f>
        <x:v>46399</x:v>
      </x:c>
      <x:c r="O65" s="306" t="n">
        <x:f>IF('作業計画'!$H65="開発",IF('作業計画'!P65="","",'作業計画'!P65),"")</x:f>
        <x:v>46400</x:v>
      </x:c>
      <x:c r="P65" s="306" t="str">
        <x:f>IF('作業計画'!$H65="開発",IF('作業計画'!Q65="","",'作業計画'!Q65),"")</x:f>
      </x:c>
      <x:c r="Q65" s="306" t="str">
        <x:f>IF('作業計画'!$H65="開発",IF('作業計画'!R65="","",'作業計画'!R65),"")</x:f>
      </x:c>
      <x:c r="R65" s="291" t="n">
        <x:f>IF('作業計画'!$H65="開発",'作業計画'!S65,"")</x:f>
        <x:v>1</x:v>
      </x:c>
      <x:c r="S65" s="291" t="n">
        <x:f>IF('作業計画'!$H65="開発",'作業計画'!T65,"")</x:f>
        <x:v>0</x:v>
      </x:c>
      <x:c r="T65" s="307" t="n">
        <x:f>IF('作業計画'!$H65="開発",'作業計画'!U65,"")</x:f>
        <x:v>0</x:v>
      </x:c>
      <x:c r="U65" s="291" t="str">
        <x:f>IF('作業計画'!$H65="開発",'作業計画'!V65,"")</x:f>
        <x:v>予定前</x:v>
      </x:c>
      <x:c r="V65" s="306" t="str">
        <x:f>IF('作業計画'!$H65="テスト",IF('作業計画'!O65="","",'作業計画'!O65),"")</x:f>
      </x:c>
      <x:c r="W65" s="306" t="str">
        <x:f>IF('作業計画'!$H65="テスト",IF('作業計画'!P65="","",'作業計画'!P65),"")</x:f>
      </x:c>
      <x:c r="X65" s="306" t="str">
        <x:f>IF('作業計画'!$H65="テスト",IF('作業計画'!Q65="","",'作業計画'!Q65),"")</x:f>
      </x:c>
      <x:c r="Y65" s="306" t="str">
        <x:f>IF('作業計画'!$H65="テスト",IF('作業計画'!R65="","",'作業計画'!R65),"")</x:f>
      </x:c>
      <x:c r="Z65" s="291" t="str">
        <x:f>IF('作業計画'!$H65="テスト",'作業計画'!S65,"")</x:f>
      </x:c>
      <x:c r="AA65" s="291" t="str">
        <x:f>IF('作業計画'!$H65="テスト",'作業計画'!T65,"")</x:f>
      </x:c>
      <x:c r="AB65" s="307" t="str">
        <x:f>IF('作業計画'!$H65="テスト",'作業計画'!U65,"")</x:f>
      </x:c>
      <x:c r="AC65" s="291" t="str">
        <x:f>IF('作業計画'!$H65="テスト",'作業計画'!V65,"")</x:f>
      </x:c>
      <x:c r="AD65" s="306" t="n">
        <x:f>IF('作業計画'!O65="","",'作業計画'!O65)</x:f>
        <x:v>46399</x:v>
      </x:c>
      <x:c r="AE65" s="306" t="n">
        <x:f>IF('作業計画'!P65="","",'作業計画'!P65)</x:f>
        <x:v>46400</x:v>
      </x:c>
      <x:c r="AF65" s="306" t="str">
        <x:f>IF('作業計画'!Q65="","",'作業計画'!Q65)</x:f>
      </x:c>
      <x:c r="AG65" s="306" t="str">
        <x:f>IF('作業計画'!R65="","",'作業計画'!R65)</x:f>
      </x:c>
      <x:c r="AH65" s="291" t="n">
        <x:f>'作業計画'!S65</x:f>
        <x:v>1</x:v>
      </x:c>
      <x:c r="AI65" s="291" t="n">
        <x:f>'作業計画'!T65</x:f>
        <x:v>0</x:v>
      </x:c>
      <x:c r="AJ65" s="307" t="n">
        <x:f>'作業計画'!U65</x:f>
        <x:v>0</x:v>
      </x:c>
      <x:c r="AK65" s="291" t="str">
        <x:f>'作業計画'!V65</x:f>
        <x:v>予定前</x:v>
      </x:c>
      <x:c r="AL65" s="291" t="str">
        <x:f>'作業計画'!W65</x:f>
        <x:v>41</x:v>
      </x:c>
      <x:c r="AM65" s="291" t="str">
        <x:f>'作業計画'!J65&amp;IF('作業計画'!K65="",""," / "&amp;'作業計画'!K65)&amp;IF('作業計画'!L65="",""," / "&amp;'作業計画'!L65)</x:f>
        <x:v>00054 / 00049 / 00058</x:v>
      </x:c>
      <x:c r="AN65" s="253" t="str">
        <x:f>'作業計画'!Y65</x:f>
        <x:v>AccountContactの実行・依存・例外制御を含むPipeline</x:v>
      </x:c>
      <x:c r="AO65" s="253" t="str">
        <x:f>IF('作業計画'!Z65="","",'作業計画'!Z65)</x:f>
        <x:v>各OUTPUTテーブル1件。作業の直列化は仮置き。</x:v>
      </x:c>
      <x:c r="AP65" s="254" t="str">
        <x:f>'作業計画'!X65</x:f>
        <x:v>原資料展開</x:v>
      </x:c>
    </x:row>
    <x:row r="66" ht="54" customHeight="1">
      <x:c r="A66" s="457" t="str">
        <x:f>'作業計画'!A66</x:f>
        <x:v>00060</x:v>
      </x:c>
      <x:c r="B66" s="330" t="str">
        <x:f>'作業計画'!B66</x:f>
        <x:v>04.開発</x:v>
      </x:c>
      <x:c r="C66" s="250" t="str">
        <x:f>'作業計画'!C66</x:f>
        <x:v>SalesRepHospital：GoldPipeline作成</x:v>
      </x:c>
      <x:c r="D66" s="250" t="str">
        <x:f>'作業計画'!D66</x:f>
        <x:v>開発担当（要確定）</x:v>
      </x:c>
      <x:c r="E66" s="250" t="str">
        <x:f>'作業計画'!E66</x:f>
        <x:v>GoldPipeline</x:v>
      </x:c>
      <x:c r="F66" s="289" t="str">
        <x:f>'作業計画'!F66</x:f>
        <x:v>2.中</x:v>
      </x:c>
      <x:c r="G66" s="289" t="str">
        <x:f>'作業計画'!G66</x:f>
        <x:v>00.未確認</x:v>
      </x:c>
      <x:c r="H66" s="304" t="str">
        <x:f>IF('作業計画'!$H66="設計",IF('作業計画'!O66="","",'作業計画'!O66),"")</x:f>
      </x:c>
      <x:c r="I66" s="304" t="str">
        <x:f>IF('作業計画'!$H66="設計",IF('作業計画'!P66="","",'作業計画'!P66),"")</x:f>
      </x:c>
      <x:c r="J66" s="304" t="str">
        <x:f>IF('作業計画'!$H66="設計",IF('作業計画'!Q66="","",'作業計画'!Q66),"")</x:f>
      </x:c>
      <x:c r="K66" s="304" t="str">
        <x:f>IF('作業計画'!$H66="設計",IF('作業計画'!R66="","",'作業計画'!R66),"")</x:f>
      </x:c>
      <x:c r="L66" s="305" t="str">
        <x:f>IF('作業計画'!$H66="設計",'作業計画'!U66,"")</x:f>
      </x:c>
      <x:c r="M66" s="289" t="str">
        <x:f>IF('作業計画'!$H66="設計",'作業計画'!V66,"")</x:f>
      </x:c>
      <x:c r="N66" s="304" t="n">
        <x:f>IF('作業計画'!$H66="開発",IF('作業計画'!O66="","",'作業計画'!O66),"")</x:f>
        <x:v>46401</x:v>
      </x:c>
      <x:c r="O66" s="304" t="n">
        <x:f>IF('作業計画'!$H66="開発",IF('作業計画'!P66="","",'作業計画'!P66),"")</x:f>
        <x:v>46402</x:v>
      </x:c>
      <x:c r="P66" s="304" t="str">
        <x:f>IF('作業計画'!$H66="開発",IF('作業計画'!Q66="","",'作業計画'!Q66),"")</x:f>
      </x:c>
      <x:c r="Q66" s="304" t="str">
        <x:f>IF('作業計画'!$H66="開発",IF('作業計画'!R66="","",'作業計画'!R66),"")</x:f>
      </x:c>
      <x:c r="R66" s="289" t="n">
        <x:f>IF('作業計画'!$H66="開発",'作業計画'!S66,"")</x:f>
        <x:v>1</x:v>
      </x:c>
      <x:c r="S66" s="289" t="n">
        <x:f>IF('作業計画'!$H66="開発",'作業計画'!T66,"")</x:f>
        <x:v>0</x:v>
      </x:c>
      <x:c r="T66" s="305" t="n">
        <x:f>IF('作業計画'!$H66="開発",'作業計画'!U66,"")</x:f>
        <x:v>0</x:v>
      </x:c>
      <x:c r="U66" s="289" t="str">
        <x:f>IF('作業計画'!$H66="開発",'作業計画'!V66,"")</x:f>
        <x:v>予定前</x:v>
      </x:c>
      <x:c r="V66" s="304" t="str">
        <x:f>IF('作業計画'!$H66="テスト",IF('作業計画'!O66="","",'作業計画'!O66),"")</x:f>
      </x:c>
      <x:c r="W66" s="304" t="str">
        <x:f>IF('作業計画'!$H66="テスト",IF('作業計画'!P66="","",'作業計画'!P66),"")</x:f>
      </x:c>
      <x:c r="X66" s="304" t="str">
        <x:f>IF('作業計画'!$H66="テスト",IF('作業計画'!Q66="","",'作業計画'!Q66),"")</x:f>
      </x:c>
      <x:c r="Y66" s="304" t="str">
        <x:f>IF('作業計画'!$H66="テスト",IF('作業計画'!R66="","",'作業計画'!R66),"")</x:f>
      </x:c>
      <x:c r="Z66" s="289" t="str">
        <x:f>IF('作業計画'!$H66="テスト",'作業計画'!S66,"")</x:f>
      </x:c>
      <x:c r="AA66" s="289" t="str">
        <x:f>IF('作業計画'!$H66="テスト",'作業計画'!T66,"")</x:f>
      </x:c>
      <x:c r="AB66" s="305" t="str">
        <x:f>IF('作業計画'!$H66="テスト",'作業計画'!U66,"")</x:f>
      </x:c>
      <x:c r="AC66" s="289" t="str">
        <x:f>IF('作業計画'!$H66="テスト",'作業計画'!V66,"")</x:f>
      </x:c>
      <x:c r="AD66" s="304" t="n">
        <x:f>IF('作業計画'!O66="","",'作業計画'!O66)</x:f>
        <x:v>46401</x:v>
      </x:c>
      <x:c r="AE66" s="304" t="n">
        <x:f>IF('作業計画'!P66="","",'作業計画'!P66)</x:f>
        <x:v>46402</x:v>
      </x:c>
      <x:c r="AF66" s="304" t="str">
        <x:f>IF('作業計画'!Q66="","",'作業計画'!Q66)</x:f>
      </x:c>
      <x:c r="AG66" s="304" t="str">
        <x:f>IF('作業計画'!R66="","",'作業計画'!R66)</x:f>
      </x:c>
      <x:c r="AH66" s="289" t="n">
        <x:f>'作業計画'!S66</x:f>
        <x:v>1</x:v>
      </x:c>
      <x:c r="AI66" s="289" t="n">
        <x:f>'作業計画'!T66</x:f>
        <x:v>0</x:v>
      </x:c>
      <x:c r="AJ66" s="305" t="n">
        <x:f>'作業計画'!U66</x:f>
        <x:v>0</x:v>
      </x:c>
      <x:c r="AK66" s="289" t="str">
        <x:f>'作業計画'!V66</x:f>
        <x:v>予定前</x:v>
      </x:c>
      <x:c r="AL66" s="289" t="str">
        <x:f>'作業計画'!W66</x:f>
        <x:v>41</x:v>
      </x:c>
      <x:c r="AM66" s="289" t="str">
        <x:f>'作業計画'!J66&amp;IF('作業計画'!K66="",""," / "&amp;'作業計画'!K66)&amp;IF('作業計画'!L66="",""," / "&amp;'作業計画'!L66)</x:f>
        <x:v>00055 / 00049 / 00059</x:v>
      </x:c>
      <x:c r="AN66" s="250" t="str">
        <x:f>'作業計画'!Y66</x:f>
        <x:v>SalesRepHospitalの実行・依存・例外制御を含むPipeline</x:v>
      </x:c>
      <x:c r="AO66" s="250" t="str">
        <x:f>IF('作業計画'!Z66="","",'作業計画'!Z66)</x:f>
        <x:v>各OUTPUTテーブル1件。作業の直列化は仮置き。</x:v>
      </x:c>
      <x:c r="AP66" s="251" t="str">
        <x:f>'作業計画'!X66</x:f>
        <x:v>原資料展開</x:v>
      </x:c>
    </x:row>
    <x:row r="67" ht="54" customHeight="1">
      <x:c r="A67" s="458" t="str">
        <x:f>'作業計画'!A67</x:f>
        <x:v>00061</x:v>
      </x:c>
      <x:c r="B67" s="330" t="str">
        <x:f>'作業計画'!B67</x:f>
        <x:v>04.開発</x:v>
      </x:c>
      <x:c r="C67" s="253" t="str">
        <x:f>'作業計画'!C67</x:f>
        <x:v>Product：Outputのstg・tgtテーブル作成</x:v>
      </x:c>
      <x:c r="D67" s="253" t="str">
        <x:f>'作業計画'!D67</x:f>
        <x:v>開発担当（要確定）</x:v>
      </x:c>
      <x:c r="E67" s="253" t="str">
        <x:f>'作業計画'!E67</x:f>
        <x:v>OutputLakehouse</x:v>
      </x:c>
      <x:c r="F67" s="291" t="str">
        <x:f>'作業計画'!F67</x:f>
        <x:v>2.中</x:v>
      </x:c>
      <x:c r="G67" s="291" t="str">
        <x:f>'作業計画'!G67</x:f>
        <x:v>00.未確認</x:v>
      </x:c>
      <x:c r="H67" s="306" t="str">
        <x:f>IF('作業計画'!$H67="設計",IF('作業計画'!O67="","",'作業計画'!O67),"")</x:f>
      </x:c>
      <x:c r="I67" s="306" t="str">
        <x:f>IF('作業計画'!$H67="設計",IF('作業計画'!P67="","",'作業計画'!P67),"")</x:f>
      </x:c>
      <x:c r="J67" s="306" t="str">
        <x:f>IF('作業計画'!$H67="設計",IF('作業計画'!Q67="","",'作業計画'!Q67),"")</x:f>
      </x:c>
      <x:c r="K67" s="306" t="str">
        <x:f>IF('作業計画'!$H67="設計",IF('作業計画'!R67="","",'作業計画'!R67),"")</x:f>
      </x:c>
      <x:c r="L67" s="307" t="str">
        <x:f>IF('作業計画'!$H67="設計",'作業計画'!U67,"")</x:f>
      </x:c>
      <x:c r="M67" s="291" t="str">
        <x:f>IF('作業計画'!$H67="設計",'作業計画'!V67,"")</x:f>
      </x:c>
      <x:c r="N67" s="306" t="n">
        <x:f>IF('作業計画'!$H67="開発",IF('作業計画'!O67="","",'作業計画'!O67),"")</x:f>
        <x:v>46391</x:v>
      </x:c>
      <x:c r="O67" s="306" t="n">
        <x:f>IF('作業計画'!$H67="開発",IF('作業計画'!P67="","",'作業計画'!P67),"")</x:f>
        <x:v>46392</x:v>
      </x:c>
      <x:c r="P67" s="306" t="str">
        <x:f>IF('作業計画'!$H67="開発",IF('作業計画'!Q67="","",'作業計画'!Q67),"")</x:f>
      </x:c>
      <x:c r="Q67" s="306" t="str">
        <x:f>IF('作業計画'!$H67="開発",IF('作業計画'!R67="","",'作業計画'!R67),"")</x:f>
      </x:c>
      <x:c r="R67" s="291" t="n">
        <x:f>IF('作業計画'!$H67="開発",'作業計画'!S67,"")</x:f>
        <x:v>1</x:v>
      </x:c>
      <x:c r="S67" s="291" t="n">
        <x:f>IF('作業計画'!$H67="開発",'作業計画'!T67,"")</x:f>
        <x:v>0</x:v>
      </x:c>
      <x:c r="T67" s="307" t="n">
        <x:f>IF('作業計画'!$H67="開発",'作業計画'!U67,"")</x:f>
        <x:v>0</x:v>
      </x:c>
      <x:c r="U67" s="291" t="str">
        <x:f>IF('作業計画'!$H67="開発",'作業計画'!V67,"")</x:f>
        <x:v>予定前</x:v>
      </x:c>
      <x:c r="V67" s="306" t="str">
        <x:f>IF('作業計画'!$H67="テスト",IF('作業計画'!O67="","",'作業計画'!O67),"")</x:f>
      </x:c>
      <x:c r="W67" s="306" t="str">
        <x:f>IF('作業計画'!$H67="テスト",IF('作業計画'!P67="","",'作業計画'!P67),"")</x:f>
      </x:c>
      <x:c r="X67" s="306" t="str">
        <x:f>IF('作業計画'!$H67="テスト",IF('作業計画'!Q67="","",'作業計画'!Q67),"")</x:f>
      </x:c>
      <x:c r="Y67" s="306" t="str">
        <x:f>IF('作業計画'!$H67="テスト",IF('作業計画'!R67="","",'作業計画'!R67),"")</x:f>
      </x:c>
      <x:c r="Z67" s="291" t="str">
        <x:f>IF('作業計画'!$H67="テスト",'作業計画'!S67,"")</x:f>
      </x:c>
      <x:c r="AA67" s="291" t="str">
        <x:f>IF('作業計画'!$H67="テスト",'作業計画'!T67,"")</x:f>
      </x:c>
      <x:c r="AB67" s="307" t="str">
        <x:f>IF('作業計画'!$H67="テスト",'作業計画'!U67,"")</x:f>
      </x:c>
      <x:c r="AC67" s="291" t="str">
        <x:f>IF('作業計画'!$H67="テスト",'作業計画'!V67,"")</x:f>
      </x:c>
      <x:c r="AD67" s="306" t="n">
        <x:f>IF('作業計画'!O67="","",'作業計画'!O67)</x:f>
        <x:v>46391</x:v>
      </x:c>
      <x:c r="AE67" s="306" t="n">
        <x:f>IF('作業計画'!P67="","",'作業計画'!P67)</x:f>
        <x:v>46392</x:v>
      </x:c>
      <x:c r="AF67" s="306" t="str">
        <x:f>IF('作業計画'!Q67="","",'作業計画'!Q67)</x:f>
      </x:c>
      <x:c r="AG67" s="306" t="str">
        <x:f>IF('作業計画'!R67="","",'作業計画'!R67)</x:f>
      </x:c>
      <x:c r="AH67" s="291" t="n">
        <x:f>'作業計画'!S67</x:f>
        <x:v>1</x:v>
      </x:c>
      <x:c r="AI67" s="291" t="n">
        <x:f>'作業計画'!T67</x:f>
        <x:v>0</x:v>
      </x:c>
      <x:c r="AJ67" s="307" t="n">
        <x:f>'作業計画'!U67</x:f>
        <x:v>0</x:v>
      </x:c>
      <x:c r="AK67" s="291" t="str">
        <x:f>'作業計画'!V67</x:f>
        <x:v>予定前</x:v>
      </x:c>
      <x:c r="AL67" s="291" t="str">
        <x:f>'作業計画'!W67</x:f>
        <x:v>48</x:v>
      </x:c>
      <x:c r="AM67" s="291" t="str">
        <x:f>'作業計画'!J67&amp;IF('作業計画'!K67="",""," / "&amp;'作業計画'!K67)&amp;IF('作業計画'!L67="",""," / "&amp;'作業計画'!L67)</x:f>
        <x:v>00051 / 00046</x:v>
      </x:c>
      <x:c r="AN67" s="253" t="str">
        <x:f>'作業計画'!Y67</x:f>
        <x:v>Productのstg・tgtの1組</x:v>
      </x:c>
      <x:c r="AO67" s="253" t="str">
        <x:f>IF('作業計画'!Z67="","",'作業計画'!Z67)</x:f>
        <x:v>総数量1はstg・tgtの1組。物理テーブル総数とは区別。</x:v>
      </x:c>
      <x:c r="AP67" s="254" t="str">
        <x:f>'作業計画'!X67</x:f>
        <x:v>原資料展開</x:v>
      </x:c>
    </x:row>
    <x:row r="68" ht="54" customHeight="1">
      <x:c r="A68" s="457" t="str">
        <x:f>'作業計画'!A68</x:f>
        <x:v>00062</x:v>
      </x:c>
      <x:c r="B68" s="330" t="str">
        <x:f>'作業計画'!B68</x:f>
        <x:v>04.開発</x:v>
      </x:c>
      <x:c r="C68" s="250" t="str">
        <x:f>'作業計画'!C68</x:f>
        <x:v>Contact：Outputのstg・tgtテーブル作成</x:v>
      </x:c>
      <x:c r="D68" s="250" t="str">
        <x:f>'作業計画'!D68</x:f>
        <x:v>開発担当（要確定）</x:v>
      </x:c>
      <x:c r="E68" s="250" t="str">
        <x:f>'作業計画'!E68</x:f>
        <x:v>OutputLakehouse</x:v>
      </x:c>
      <x:c r="F68" s="289" t="str">
        <x:f>'作業計画'!F68</x:f>
        <x:v>2.中</x:v>
      </x:c>
      <x:c r="G68" s="289" t="str">
        <x:f>'作業計画'!G68</x:f>
        <x:v>00.未確認</x:v>
      </x:c>
      <x:c r="H68" s="304" t="str">
        <x:f>IF('作業計画'!$H68="設計",IF('作業計画'!O68="","",'作業計画'!O68),"")</x:f>
      </x:c>
      <x:c r="I68" s="304" t="str">
        <x:f>IF('作業計画'!$H68="設計",IF('作業計画'!P68="","",'作業計画'!P68),"")</x:f>
      </x:c>
      <x:c r="J68" s="304" t="str">
        <x:f>IF('作業計画'!$H68="設計",IF('作業計画'!Q68="","",'作業計画'!Q68),"")</x:f>
      </x:c>
      <x:c r="K68" s="304" t="str">
        <x:f>IF('作業計画'!$H68="設計",IF('作業計画'!R68="","",'作業計画'!R68),"")</x:f>
      </x:c>
      <x:c r="L68" s="305" t="str">
        <x:f>IF('作業計画'!$H68="設計",'作業計画'!U68,"")</x:f>
      </x:c>
      <x:c r="M68" s="289" t="str">
        <x:f>IF('作業計画'!$H68="設計",'作業計画'!V68,"")</x:f>
      </x:c>
      <x:c r="N68" s="304" t="n">
        <x:f>IF('作業計画'!$H68="開発",IF('作業計画'!O68="","",'作業計画'!O68),"")</x:f>
        <x:v>46393</x:v>
      </x:c>
      <x:c r="O68" s="304" t="n">
        <x:f>IF('作業計画'!$H68="開発",IF('作業計画'!P68="","",'作業計画'!P68),"")</x:f>
        <x:v>46394</x:v>
      </x:c>
      <x:c r="P68" s="304" t="str">
        <x:f>IF('作業計画'!$H68="開発",IF('作業計画'!Q68="","",'作業計画'!Q68),"")</x:f>
      </x:c>
      <x:c r="Q68" s="304" t="str">
        <x:f>IF('作業計画'!$H68="開発",IF('作業計画'!R68="","",'作業計画'!R68),"")</x:f>
      </x:c>
      <x:c r="R68" s="289" t="n">
        <x:f>IF('作業計画'!$H68="開発",'作業計画'!S68,"")</x:f>
        <x:v>1</x:v>
      </x:c>
      <x:c r="S68" s="289" t="n">
        <x:f>IF('作業計画'!$H68="開発",'作業計画'!T68,"")</x:f>
        <x:v>0</x:v>
      </x:c>
      <x:c r="T68" s="305" t="n">
        <x:f>IF('作業計画'!$H68="開発",'作業計画'!U68,"")</x:f>
        <x:v>0</x:v>
      </x:c>
      <x:c r="U68" s="289" t="str">
        <x:f>IF('作業計画'!$H68="開発",'作業計画'!V68,"")</x:f>
        <x:v>予定前</x:v>
      </x:c>
      <x:c r="V68" s="304" t="str">
        <x:f>IF('作業計画'!$H68="テスト",IF('作業計画'!O68="","",'作業計画'!O68),"")</x:f>
      </x:c>
      <x:c r="W68" s="304" t="str">
        <x:f>IF('作業計画'!$H68="テスト",IF('作業計画'!P68="","",'作業計画'!P68),"")</x:f>
      </x:c>
      <x:c r="X68" s="304" t="str">
        <x:f>IF('作業計画'!$H68="テスト",IF('作業計画'!Q68="","",'作業計画'!Q68),"")</x:f>
      </x:c>
      <x:c r="Y68" s="304" t="str">
        <x:f>IF('作業計画'!$H68="テスト",IF('作業計画'!R68="","",'作業計画'!R68),"")</x:f>
      </x:c>
      <x:c r="Z68" s="289" t="str">
        <x:f>IF('作業計画'!$H68="テスト",'作業計画'!S68,"")</x:f>
      </x:c>
      <x:c r="AA68" s="289" t="str">
        <x:f>IF('作業計画'!$H68="テスト",'作業計画'!T68,"")</x:f>
      </x:c>
      <x:c r="AB68" s="305" t="str">
        <x:f>IF('作業計画'!$H68="テスト",'作業計画'!U68,"")</x:f>
      </x:c>
      <x:c r="AC68" s="289" t="str">
        <x:f>IF('作業計画'!$H68="テスト",'作業計画'!V68,"")</x:f>
      </x:c>
      <x:c r="AD68" s="304" t="n">
        <x:f>IF('作業計画'!O68="","",'作業計画'!O68)</x:f>
        <x:v>46393</x:v>
      </x:c>
      <x:c r="AE68" s="304" t="n">
        <x:f>IF('作業計画'!P68="","",'作業計画'!P68)</x:f>
        <x:v>46394</x:v>
      </x:c>
      <x:c r="AF68" s="304" t="str">
        <x:f>IF('作業計画'!Q68="","",'作業計画'!Q68)</x:f>
      </x:c>
      <x:c r="AG68" s="304" t="str">
        <x:f>IF('作業計画'!R68="","",'作業計画'!R68)</x:f>
      </x:c>
      <x:c r="AH68" s="289" t="n">
        <x:f>'作業計画'!S68</x:f>
        <x:v>1</x:v>
      </x:c>
      <x:c r="AI68" s="289" t="n">
        <x:f>'作業計画'!T68</x:f>
        <x:v>0</x:v>
      </x:c>
      <x:c r="AJ68" s="305" t="n">
        <x:f>'作業計画'!U68</x:f>
        <x:v>0</x:v>
      </x:c>
      <x:c r="AK68" s="289" t="str">
        <x:f>'作業計画'!V68</x:f>
        <x:v>予定前</x:v>
      </x:c>
      <x:c r="AL68" s="289" t="str">
        <x:f>'作業計画'!W68</x:f>
        <x:v>48</x:v>
      </x:c>
      <x:c r="AM68" s="289" t="str">
        <x:f>'作業計画'!J68&amp;IF('作業計画'!K68="",""," / "&amp;'作業計画'!K68)&amp;IF('作業計画'!L68="",""," / "&amp;'作業計画'!L68)</x:f>
        <x:v>00052 / 00046 / 00061</x:v>
      </x:c>
      <x:c r="AN68" s="250" t="str">
        <x:f>'作業計画'!Y68</x:f>
        <x:v>Contactのstg・tgtの1組</x:v>
      </x:c>
      <x:c r="AO68" s="250" t="str">
        <x:f>IF('作業計画'!Z68="","",'作業計画'!Z68)</x:f>
        <x:v>総数量1はstg・tgtの1組。物理テーブル総数とは区別。</x:v>
      </x:c>
      <x:c r="AP68" s="251" t="str">
        <x:f>'作業計画'!X68</x:f>
        <x:v>原資料展開</x:v>
      </x:c>
    </x:row>
    <x:row r="69" ht="54" customHeight="1">
      <x:c r="A69" s="458" t="str">
        <x:f>'作業計画'!A69</x:f>
        <x:v>00063</x:v>
      </x:c>
      <x:c r="B69" s="330" t="str">
        <x:f>'作業計画'!B69</x:f>
        <x:v>04.開発</x:v>
      </x:c>
      <x:c r="C69" s="253" t="str">
        <x:f>'作業計画'!C69</x:f>
        <x:v>Account：Outputのstg・tgtテーブル作成</x:v>
      </x:c>
      <x:c r="D69" s="253" t="str">
        <x:f>'作業計画'!D69</x:f>
        <x:v>開発担当（要確定）</x:v>
      </x:c>
      <x:c r="E69" s="253" t="str">
        <x:f>'作業計画'!E69</x:f>
        <x:v>OutputLakehouse</x:v>
      </x:c>
      <x:c r="F69" s="291" t="str">
        <x:f>'作業計画'!F69</x:f>
        <x:v>2.中</x:v>
      </x:c>
      <x:c r="G69" s="291" t="str">
        <x:f>'作業計画'!G69</x:f>
        <x:v>00.未確認</x:v>
      </x:c>
      <x:c r="H69" s="306" t="str">
        <x:f>IF('作業計画'!$H69="設計",IF('作業計画'!O69="","",'作業計画'!O69),"")</x:f>
      </x:c>
      <x:c r="I69" s="306" t="str">
        <x:f>IF('作業計画'!$H69="設計",IF('作業計画'!P69="","",'作業計画'!P69),"")</x:f>
      </x:c>
      <x:c r="J69" s="306" t="str">
        <x:f>IF('作業計画'!$H69="設計",IF('作業計画'!Q69="","",'作業計画'!Q69),"")</x:f>
      </x:c>
      <x:c r="K69" s="306" t="str">
        <x:f>IF('作業計画'!$H69="設計",IF('作業計画'!R69="","",'作業計画'!R69),"")</x:f>
      </x:c>
      <x:c r="L69" s="307" t="str">
        <x:f>IF('作業計画'!$H69="設計",'作業計画'!U69,"")</x:f>
      </x:c>
      <x:c r="M69" s="291" t="str">
        <x:f>IF('作業計画'!$H69="設計",'作業計画'!V69,"")</x:f>
      </x:c>
      <x:c r="N69" s="306" t="n">
        <x:f>IF('作業計画'!$H69="開発",IF('作業計画'!O69="","",'作業計画'!O69),"")</x:f>
        <x:v>46395</x:v>
      </x:c>
      <x:c r="O69" s="306" t="n">
        <x:f>IF('作業計画'!$H69="開発",IF('作業計画'!P69="","",'作業計画'!P69),"")</x:f>
        <x:v>46398</x:v>
      </x:c>
      <x:c r="P69" s="306" t="str">
        <x:f>IF('作業計画'!$H69="開発",IF('作業計画'!Q69="","",'作業計画'!Q69),"")</x:f>
      </x:c>
      <x:c r="Q69" s="306" t="str">
        <x:f>IF('作業計画'!$H69="開発",IF('作業計画'!R69="","",'作業計画'!R69),"")</x:f>
      </x:c>
      <x:c r="R69" s="291" t="n">
        <x:f>IF('作業計画'!$H69="開発",'作業計画'!S69,"")</x:f>
        <x:v>1</x:v>
      </x:c>
      <x:c r="S69" s="291" t="n">
        <x:f>IF('作業計画'!$H69="開発",'作業計画'!T69,"")</x:f>
        <x:v>0</x:v>
      </x:c>
      <x:c r="T69" s="307" t="n">
        <x:f>IF('作業計画'!$H69="開発",'作業計画'!U69,"")</x:f>
        <x:v>0</x:v>
      </x:c>
      <x:c r="U69" s="291" t="str">
        <x:f>IF('作業計画'!$H69="開発",'作業計画'!V69,"")</x:f>
        <x:v>予定前</x:v>
      </x:c>
      <x:c r="V69" s="306" t="str">
        <x:f>IF('作業計画'!$H69="テスト",IF('作業計画'!O69="","",'作業計画'!O69),"")</x:f>
      </x:c>
      <x:c r="W69" s="306" t="str">
        <x:f>IF('作業計画'!$H69="テスト",IF('作業計画'!P69="","",'作業計画'!P69),"")</x:f>
      </x:c>
      <x:c r="X69" s="306" t="str">
        <x:f>IF('作業計画'!$H69="テスト",IF('作業計画'!Q69="","",'作業計画'!Q69),"")</x:f>
      </x:c>
      <x:c r="Y69" s="306" t="str">
        <x:f>IF('作業計画'!$H69="テスト",IF('作業計画'!R69="","",'作業計画'!R69),"")</x:f>
      </x:c>
      <x:c r="Z69" s="291" t="str">
        <x:f>IF('作業計画'!$H69="テスト",'作業計画'!S69,"")</x:f>
      </x:c>
      <x:c r="AA69" s="291" t="str">
        <x:f>IF('作業計画'!$H69="テスト",'作業計画'!T69,"")</x:f>
      </x:c>
      <x:c r="AB69" s="307" t="str">
        <x:f>IF('作業計画'!$H69="テスト",'作業計画'!U69,"")</x:f>
      </x:c>
      <x:c r="AC69" s="291" t="str">
        <x:f>IF('作業計画'!$H69="テスト",'作業計画'!V69,"")</x:f>
      </x:c>
      <x:c r="AD69" s="306" t="n">
        <x:f>IF('作業計画'!O69="","",'作業計画'!O69)</x:f>
        <x:v>46395</x:v>
      </x:c>
      <x:c r="AE69" s="306" t="n">
        <x:f>IF('作業計画'!P69="","",'作業計画'!P69)</x:f>
        <x:v>46398</x:v>
      </x:c>
      <x:c r="AF69" s="306" t="str">
        <x:f>IF('作業計画'!Q69="","",'作業計画'!Q69)</x:f>
      </x:c>
      <x:c r="AG69" s="306" t="str">
        <x:f>IF('作業計画'!R69="","",'作業計画'!R69)</x:f>
      </x:c>
      <x:c r="AH69" s="291" t="n">
        <x:f>'作業計画'!S69</x:f>
        <x:v>1</x:v>
      </x:c>
      <x:c r="AI69" s="291" t="n">
        <x:f>'作業計画'!T69</x:f>
        <x:v>0</x:v>
      </x:c>
      <x:c r="AJ69" s="307" t="n">
        <x:f>'作業計画'!U69</x:f>
        <x:v>0</x:v>
      </x:c>
      <x:c r="AK69" s="291" t="str">
        <x:f>'作業計画'!V69</x:f>
        <x:v>予定前</x:v>
      </x:c>
      <x:c r="AL69" s="291" t="str">
        <x:f>'作業計画'!W69</x:f>
        <x:v>48</x:v>
      </x:c>
      <x:c r="AM69" s="291" t="str">
        <x:f>'作業計画'!J69&amp;IF('作業計画'!K69="",""," / "&amp;'作業計画'!K69)&amp;IF('作業計画'!L69="",""," / "&amp;'作業計画'!L69)</x:f>
        <x:v>00053 / 00046 / 00062</x:v>
      </x:c>
      <x:c r="AN69" s="253" t="str">
        <x:f>'作業計画'!Y69</x:f>
        <x:v>Accountのstg・tgtの1組</x:v>
      </x:c>
      <x:c r="AO69" s="253" t="str">
        <x:f>IF('作業計画'!Z69="","",'作業計画'!Z69)</x:f>
        <x:v>総数量1はstg・tgtの1組。物理テーブル総数とは区別。</x:v>
      </x:c>
      <x:c r="AP69" s="254" t="str">
        <x:f>'作業計画'!X69</x:f>
        <x:v>原資料展開</x:v>
      </x:c>
    </x:row>
    <x:row r="70" ht="54" customHeight="1">
      <x:c r="A70" s="457" t="str">
        <x:f>'作業計画'!A70</x:f>
        <x:v>00064</x:v>
      </x:c>
      <x:c r="B70" s="330" t="str">
        <x:f>'作業計画'!B70</x:f>
        <x:v>04.開発</x:v>
      </x:c>
      <x:c r="C70" s="250" t="str">
        <x:f>'作業計画'!C70</x:f>
        <x:v>AccountContact：Outputのstg・tgtテーブル作成</x:v>
      </x:c>
      <x:c r="D70" s="250" t="str">
        <x:f>'作業計画'!D70</x:f>
        <x:v>開発担当（要確定）</x:v>
      </x:c>
      <x:c r="E70" s="250" t="str">
        <x:f>'作業計画'!E70</x:f>
        <x:v>OutputLakehouse</x:v>
      </x:c>
      <x:c r="F70" s="289" t="str">
        <x:f>'作業計画'!F70</x:f>
        <x:v>2.中</x:v>
      </x:c>
      <x:c r="G70" s="289" t="str">
        <x:f>'作業計画'!G70</x:f>
        <x:v>00.未確認</x:v>
      </x:c>
      <x:c r="H70" s="304" t="str">
        <x:f>IF('作業計画'!$H70="設計",IF('作業計画'!O70="","",'作業計画'!O70),"")</x:f>
      </x:c>
      <x:c r="I70" s="304" t="str">
        <x:f>IF('作業計画'!$H70="設計",IF('作業計画'!P70="","",'作業計画'!P70),"")</x:f>
      </x:c>
      <x:c r="J70" s="304" t="str">
        <x:f>IF('作業計画'!$H70="設計",IF('作業計画'!Q70="","",'作業計画'!Q70),"")</x:f>
      </x:c>
      <x:c r="K70" s="304" t="str">
        <x:f>IF('作業計画'!$H70="設計",IF('作業計画'!R70="","",'作業計画'!R70),"")</x:f>
      </x:c>
      <x:c r="L70" s="305" t="str">
        <x:f>IF('作業計画'!$H70="設計",'作業計画'!U70,"")</x:f>
      </x:c>
      <x:c r="M70" s="289" t="str">
        <x:f>IF('作業計画'!$H70="設計",'作業計画'!V70,"")</x:f>
      </x:c>
      <x:c r="N70" s="304" t="n">
        <x:f>IF('作業計画'!$H70="開発",IF('作業計画'!O70="","",'作業計画'!O70),"")</x:f>
        <x:v>46399</x:v>
      </x:c>
      <x:c r="O70" s="304" t="n">
        <x:f>IF('作業計画'!$H70="開発",IF('作業計画'!P70="","",'作業計画'!P70),"")</x:f>
        <x:v>46400</x:v>
      </x:c>
      <x:c r="P70" s="304" t="str">
        <x:f>IF('作業計画'!$H70="開発",IF('作業計画'!Q70="","",'作業計画'!Q70),"")</x:f>
      </x:c>
      <x:c r="Q70" s="304" t="str">
        <x:f>IF('作業計画'!$H70="開発",IF('作業計画'!R70="","",'作業計画'!R70),"")</x:f>
      </x:c>
      <x:c r="R70" s="289" t="n">
        <x:f>IF('作業計画'!$H70="開発",'作業計画'!S70,"")</x:f>
        <x:v>1</x:v>
      </x:c>
      <x:c r="S70" s="289" t="n">
        <x:f>IF('作業計画'!$H70="開発",'作業計画'!T70,"")</x:f>
        <x:v>0</x:v>
      </x:c>
      <x:c r="T70" s="305" t="n">
        <x:f>IF('作業計画'!$H70="開発",'作業計画'!U70,"")</x:f>
        <x:v>0</x:v>
      </x:c>
      <x:c r="U70" s="289" t="str">
        <x:f>IF('作業計画'!$H70="開発",'作業計画'!V70,"")</x:f>
        <x:v>予定前</x:v>
      </x:c>
      <x:c r="V70" s="304" t="str">
        <x:f>IF('作業計画'!$H70="テスト",IF('作業計画'!O70="","",'作業計画'!O70),"")</x:f>
      </x:c>
      <x:c r="W70" s="304" t="str">
        <x:f>IF('作業計画'!$H70="テスト",IF('作業計画'!P70="","",'作業計画'!P70),"")</x:f>
      </x:c>
      <x:c r="X70" s="304" t="str">
        <x:f>IF('作業計画'!$H70="テスト",IF('作業計画'!Q70="","",'作業計画'!Q70),"")</x:f>
      </x:c>
      <x:c r="Y70" s="304" t="str">
        <x:f>IF('作業計画'!$H70="テスト",IF('作業計画'!R70="","",'作業計画'!R70),"")</x:f>
      </x:c>
      <x:c r="Z70" s="289" t="str">
        <x:f>IF('作業計画'!$H70="テスト",'作業計画'!S70,"")</x:f>
      </x:c>
      <x:c r="AA70" s="289" t="str">
        <x:f>IF('作業計画'!$H70="テスト",'作業計画'!T70,"")</x:f>
      </x:c>
      <x:c r="AB70" s="305" t="str">
        <x:f>IF('作業計画'!$H70="テスト",'作業計画'!U70,"")</x:f>
      </x:c>
      <x:c r="AC70" s="289" t="str">
        <x:f>IF('作業計画'!$H70="テスト",'作業計画'!V70,"")</x:f>
      </x:c>
      <x:c r="AD70" s="304" t="n">
        <x:f>IF('作業計画'!O70="","",'作業計画'!O70)</x:f>
        <x:v>46399</x:v>
      </x:c>
      <x:c r="AE70" s="304" t="n">
        <x:f>IF('作業計画'!P70="","",'作業計画'!P70)</x:f>
        <x:v>46400</x:v>
      </x:c>
      <x:c r="AF70" s="304" t="str">
        <x:f>IF('作業計画'!Q70="","",'作業計画'!Q70)</x:f>
      </x:c>
      <x:c r="AG70" s="304" t="str">
        <x:f>IF('作業計画'!R70="","",'作業計画'!R70)</x:f>
      </x:c>
      <x:c r="AH70" s="289" t="n">
        <x:f>'作業計画'!S70</x:f>
        <x:v>1</x:v>
      </x:c>
      <x:c r="AI70" s="289" t="n">
        <x:f>'作業計画'!T70</x:f>
        <x:v>0</x:v>
      </x:c>
      <x:c r="AJ70" s="305" t="n">
        <x:f>'作業計画'!U70</x:f>
        <x:v>0</x:v>
      </x:c>
      <x:c r="AK70" s="289" t="str">
        <x:f>'作業計画'!V70</x:f>
        <x:v>予定前</x:v>
      </x:c>
      <x:c r="AL70" s="289" t="str">
        <x:f>'作業計画'!W70</x:f>
        <x:v>48</x:v>
      </x:c>
      <x:c r="AM70" s="289" t="str">
        <x:f>'作業計画'!J70&amp;IF('作業計画'!K70="",""," / "&amp;'作業計画'!K70)&amp;IF('作業計画'!L70="",""," / "&amp;'作業計画'!L70)</x:f>
        <x:v>00054 / 00046 / 00063</x:v>
      </x:c>
      <x:c r="AN70" s="250" t="str">
        <x:f>'作業計画'!Y70</x:f>
        <x:v>AccountContactのstg・tgtの1組</x:v>
      </x:c>
      <x:c r="AO70" s="250" t="str">
        <x:f>IF('作業計画'!Z70="","",'作業計画'!Z70)</x:f>
        <x:v>総数量1はstg・tgtの1組。物理テーブル総数とは区別。</x:v>
      </x:c>
      <x:c r="AP70" s="251" t="str">
        <x:f>'作業計画'!X70</x:f>
        <x:v>原資料展開</x:v>
      </x:c>
    </x:row>
    <x:row r="71" ht="54" customHeight="1">
      <x:c r="A71" s="458" t="str">
        <x:f>'作業計画'!A71</x:f>
        <x:v>00065</x:v>
      </x:c>
      <x:c r="B71" s="330" t="str">
        <x:f>'作業計画'!B71</x:f>
        <x:v>04.開発</x:v>
      </x:c>
      <x:c r="C71" s="253" t="str">
        <x:f>'作業計画'!C71</x:f>
        <x:v>SalesRepHospital：Outputのstg・tgtテーブル作成</x:v>
      </x:c>
      <x:c r="D71" s="253" t="str">
        <x:f>'作業計画'!D71</x:f>
        <x:v>開発担当（要確定）</x:v>
      </x:c>
      <x:c r="E71" s="253" t="str">
        <x:f>'作業計画'!E71</x:f>
        <x:v>OutputLakehouse</x:v>
      </x:c>
      <x:c r="F71" s="291" t="str">
        <x:f>'作業計画'!F71</x:f>
        <x:v>2.中</x:v>
      </x:c>
      <x:c r="G71" s="291" t="str">
        <x:f>'作業計画'!G71</x:f>
        <x:v>00.未確認</x:v>
      </x:c>
      <x:c r="H71" s="306" t="str">
        <x:f>IF('作業計画'!$H71="設計",IF('作業計画'!O71="","",'作業計画'!O71),"")</x:f>
      </x:c>
      <x:c r="I71" s="306" t="str">
        <x:f>IF('作業計画'!$H71="設計",IF('作業計画'!P71="","",'作業計画'!P71),"")</x:f>
      </x:c>
      <x:c r="J71" s="306" t="str">
        <x:f>IF('作業計画'!$H71="設計",IF('作業計画'!Q71="","",'作業計画'!Q71),"")</x:f>
      </x:c>
      <x:c r="K71" s="306" t="str">
        <x:f>IF('作業計画'!$H71="設計",IF('作業計画'!R71="","",'作業計画'!R71),"")</x:f>
      </x:c>
      <x:c r="L71" s="307" t="str">
        <x:f>IF('作業計画'!$H71="設計",'作業計画'!U71,"")</x:f>
      </x:c>
      <x:c r="M71" s="291" t="str">
        <x:f>IF('作業計画'!$H71="設計",'作業計画'!V71,"")</x:f>
      </x:c>
      <x:c r="N71" s="306" t="n">
        <x:f>IF('作業計画'!$H71="開発",IF('作業計画'!O71="","",'作業計画'!O71),"")</x:f>
        <x:v>46401</x:v>
      </x:c>
      <x:c r="O71" s="306" t="n">
        <x:f>IF('作業計画'!$H71="開発",IF('作業計画'!P71="","",'作業計画'!P71),"")</x:f>
        <x:v>46402</x:v>
      </x:c>
      <x:c r="P71" s="306" t="str">
        <x:f>IF('作業計画'!$H71="開発",IF('作業計画'!Q71="","",'作業計画'!Q71),"")</x:f>
      </x:c>
      <x:c r="Q71" s="306" t="str">
        <x:f>IF('作業計画'!$H71="開発",IF('作業計画'!R71="","",'作業計画'!R71),"")</x:f>
      </x:c>
      <x:c r="R71" s="291" t="n">
        <x:f>IF('作業計画'!$H71="開発",'作業計画'!S71,"")</x:f>
        <x:v>1</x:v>
      </x:c>
      <x:c r="S71" s="291" t="n">
        <x:f>IF('作業計画'!$H71="開発",'作業計画'!T71,"")</x:f>
        <x:v>0</x:v>
      </x:c>
      <x:c r="T71" s="307" t="n">
        <x:f>IF('作業計画'!$H71="開発",'作業計画'!U71,"")</x:f>
        <x:v>0</x:v>
      </x:c>
      <x:c r="U71" s="291" t="str">
        <x:f>IF('作業計画'!$H71="開発",'作業計画'!V71,"")</x:f>
        <x:v>予定前</x:v>
      </x:c>
      <x:c r="V71" s="306" t="str">
        <x:f>IF('作業計画'!$H71="テスト",IF('作業計画'!O71="","",'作業計画'!O71),"")</x:f>
      </x:c>
      <x:c r="W71" s="306" t="str">
        <x:f>IF('作業計画'!$H71="テスト",IF('作業計画'!P71="","",'作業計画'!P71),"")</x:f>
      </x:c>
      <x:c r="X71" s="306" t="str">
        <x:f>IF('作業計画'!$H71="テスト",IF('作業計画'!Q71="","",'作業計画'!Q71),"")</x:f>
      </x:c>
      <x:c r="Y71" s="306" t="str">
        <x:f>IF('作業計画'!$H71="テスト",IF('作業計画'!R71="","",'作業計画'!R71),"")</x:f>
      </x:c>
      <x:c r="Z71" s="291" t="str">
        <x:f>IF('作業計画'!$H71="テスト",'作業計画'!S71,"")</x:f>
      </x:c>
      <x:c r="AA71" s="291" t="str">
        <x:f>IF('作業計画'!$H71="テスト",'作業計画'!T71,"")</x:f>
      </x:c>
      <x:c r="AB71" s="307" t="str">
        <x:f>IF('作業計画'!$H71="テスト",'作業計画'!U71,"")</x:f>
      </x:c>
      <x:c r="AC71" s="291" t="str">
        <x:f>IF('作業計画'!$H71="テスト",'作業計画'!V71,"")</x:f>
      </x:c>
      <x:c r="AD71" s="306" t="n">
        <x:f>IF('作業計画'!O71="","",'作業計画'!O71)</x:f>
        <x:v>46401</x:v>
      </x:c>
      <x:c r="AE71" s="306" t="n">
        <x:f>IF('作業計画'!P71="","",'作業計画'!P71)</x:f>
        <x:v>46402</x:v>
      </x:c>
      <x:c r="AF71" s="306" t="str">
        <x:f>IF('作業計画'!Q71="","",'作業計画'!Q71)</x:f>
      </x:c>
      <x:c r="AG71" s="306" t="str">
        <x:f>IF('作業計画'!R71="","",'作業計画'!R71)</x:f>
      </x:c>
      <x:c r="AH71" s="291" t="n">
        <x:f>'作業計画'!S71</x:f>
        <x:v>1</x:v>
      </x:c>
      <x:c r="AI71" s="291" t="n">
        <x:f>'作業計画'!T71</x:f>
        <x:v>0</x:v>
      </x:c>
      <x:c r="AJ71" s="307" t="n">
        <x:f>'作業計画'!U71</x:f>
        <x:v>0</x:v>
      </x:c>
      <x:c r="AK71" s="291" t="str">
        <x:f>'作業計画'!V71</x:f>
        <x:v>予定前</x:v>
      </x:c>
      <x:c r="AL71" s="291" t="str">
        <x:f>'作業計画'!W71</x:f>
        <x:v>48</x:v>
      </x:c>
      <x:c r="AM71" s="291" t="str">
        <x:f>'作業計画'!J71&amp;IF('作業計画'!K71="",""," / "&amp;'作業計画'!K71)&amp;IF('作業計画'!L71="",""," / "&amp;'作業計画'!L71)</x:f>
        <x:v>00055 / 00046 / 00064</x:v>
      </x:c>
      <x:c r="AN71" s="253" t="str">
        <x:f>'作業計画'!Y71</x:f>
        <x:v>SalesRepHospitalのstg・tgtの1組</x:v>
      </x:c>
      <x:c r="AO71" s="253" t="str">
        <x:f>IF('作業計画'!Z71="","",'作業計画'!Z71)</x:f>
        <x:v>総数量1はstg・tgtの1組。物理テーブル総数とは区別。</x:v>
      </x:c>
      <x:c r="AP71" s="254" t="str">
        <x:f>'作業計画'!X71</x:f>
        <x:v>原資料展開</x:v>
      </x:c>
    </x:row>
    <x:row r="72" ht="54" customHeight="1">
      <x:c r="A72" s="457" t="str">
        <x:f>'作業計画'!A72</x:f>
        <x:v>00066</x:v>
      </x:c>
      <x:c r="B72" s="330" t="str">
        <x:f>'作業計画'!B72</x:f>
        <x:v>04.開発</x:v>
      </x:c>
      <x:c r="C72" s="250" t="str">
        <x:f>'作業計画'!C72</x:f>
        <x:v>OutputLakehouse：Watermarkテーブル作成</x:v>
      </x:c>
      <x:c r="D72" s="250" t="str">
        <x:f>'作業計画'!D72</x:f>
        <x:v>開発担当（要確定）</x:v>
      </x:c>
      <x:c r="E72" s="250" t="str">
        <x:f>'作業計画'!E72</x:f>
        <x:v>OutputLakehouse</x:v>
      </x:c>
      <x:c r="F72" s="289" t="str">
        <x:f>'作業計画'!F72</x:f>
        <x:v>2.中</x:v>
      </x:c>
      <x:c r="G72" s="289" t="str">
        <x:f>'作業計画'!G72</x:f>
        <x:v>00.未確認</x:v>
      </x:c>
      <x:c r="H72" s="304" t="str">
        <x:f>IF('作業計画'!$H72="設計",IF('作業計画'!O72="","",'作業計画'!O72),"")</x:f>
      </x:c>
      <x:c r="I72" s="304" t="str">
        <x:f>IF('作業計画'!$H72="設計",IF('作業計画'!P72="","",'作業計画'!P72),"")</x:f>
      </x:c>
      <x:c r="J72" s="304" t="str">
        <x:f>IF('作業計画'!$H72="設計",IF('作業計画'!Q72="","",'作業計画'!Q72),"")</x:f>
      </x:c>
      <x:c r="K72" s="304" t="str">
        <x:f>IF('作業計画'!$H72="設計",IF('作業計画'!R72="","",'作業計画'!R72),"")</x:f>
      </x:c>
      <x:c r="L72" s="305" t="str">
        <x:f>IF('作業計画'!$H72="設計",'作業計画'!U72,"")</x:f>
      </x:c>
      <x:c r="M72" s="289" t="str">
        <x:f>IF('作業計画'!$H72="設計",'作業計画'!V72,"")</x:f>
      </x:c>
      <x:c r="N72" s="304" t="n">
        <x:f>IF('作業計画'!$H72="開発",IF('作業計画'!O72="","",'作業計画'!O72),"")</x:f>
        <x:v>46385</x:v>
      </x:c>
      <x:c r="O72" s="304" t="n">
        <x:f>IF('作業計画'!$H72="開発",IF('作業計画'!P72="","",'作業計画'!P72),"")</x:f>
        <x:v>46386</x:v>
      </x:c>
      <x:c r="P72" s="304" t="str">
        <x:f>IF('作業計画'!$H72="開発",IF('作業計画'!Q72="","",'作業計画'!Q72),"")</x:f>
      </x:c>
      <x:c r="Q72" s="304" t="str">
        <x:f>IF('作業計画'!$H72="開発",IF('作業計画'!R72="","",'作業計画'!R72),"")</x:f>
      </x:c>
      <x:c r="R72" s="289" t="n">
        <x:f>IF('作業計画'!$H72="開発",'作業計画'!S72,"")</x:f>
        <x:v>1</x:v>
      </x:c>
      <x:c r="S72" s="289" t="n">
        <x:f>IF('作業計画'!$H72="開発",'作業計画'!T72,"")</x:f>
        <x:v>0</x:v>
      </x:c>
      <x:c r="T72" s="305" t="n">
        <x:f>IF('作業計画'!$H72="開発",'作業計画'!U72,"")</x:f>
        <x:v>0</x:v>
      </x:c>
      <x:c r="U72" s="289" t="str">
        <x:f>IF('作業計画'!$H72="開発",'作業計画'!V72,"")</x:f>
        <x:v>予定前</x:v>
      </x:c>
      <x:c r="V72" s="304" t="str">
        <x:f>IF('作業計画'!$H72="テスト",IF('作業計画'!O72="","",'作業計画'!O72),"")</x:f>
      </x:c>
      <x:c r="W72" s="304" t="str">
        <x:f>IF('作業計画'!$H72="テスト",IF('作業計画'!P72="","",'作業計画'!P72),"")</x:f>
      </x:c>
      <x:c r="X72" s="304" t="str">
        <x:f>IF('作業計画'!$H72="テスト",IF('作業計画'!Q72="","",'作業計画'!Q72),"")</x:f>
      </x:c>
      <x:c r="Y72" s="304" t="str">
        <x:f>IF('作業計画'!$H72="テスト",IF('作業計画'!R72="","",'作業計画'!R72),"")</x:f>
      </x:c>
      <x:c r="Z72" s="289" t="str">
        <x:f>IF('作業計画'!$H72="テスト",'作業計画'!S72,"")</x:f>
      </x:c>
      <x:c r="AA72" s="289" t="str">
        <x:f>IF('作業計画'!$H72="テスト",'作業計画'!T72,"")</x:f>
      </x:c>
      <x:c r="AB72" s="305" t="str">
        <x:f>IF('作業計画'!$H72="テスト",'作業計画'!U72,"")</x:f>
      </x:c>
      <x:c r="AC72" s="289" t="str">
        <x:f>IF('作業計画'!$H72="テスト",'作業計画'!V72,"")</x:f>
      </x:c>
      <x:c r="AD72" s="304" t="n">
        <x:f>IF('作業計画'!O72="","",'作業計画'!O72)</x:f>
        <x:v>46385</x:v>
      </x:c>
      <x:c r="AE72" s="304" t="n">
        <x:f>IF('作業計画'!P72="","",'作業計画'!P72)</x:f>
        <x:v>46386</x:v>
      </x:c>
      <x:c r="AF72" s="304" t="str">
        <x:f>IF('作業計画'!Q72="","",'作業計画'!Q72)</x:f>
      </x:c>
      <x:c r="AG72" s="304" t="str">
        <x:f>IF('作業計画'!R72="","",'作業計画'!R72)</x:f>
      </x:c>
      <x:c r="AH72" s="289" t="n">
        <x:f>'作業計画'!S72</x:f>
        <x:v>1</x:v>
      </x:c>
      <x:c r="AI72" s="289" t="n">
        <x:f>'作業計画'!T72</x:f>
        <x:v>0</x:v>
      </x:c>
      <x:c r="AJ72" s="305" t="n">
        <x:f>'作業計画'!U72</x:f>
        <x:v>0</x:v>
      </x:c>
      <x:c r="AK72" s="289" t="str">
        <x:f>'作業計画'!V72</x:f>
        <x:v>予定前</x:v>
      </x:c>
      <x:c r="AL72" s="289" t="str">
        <x:f>'作業計画'!W72</x:f>
        <x:v>48</x:v>
      </x:c>
      <x:c r="AM72" s="289" t="str">
        <x:f>'作業計画'!J72&amp;IF('作業計画'!K72="",""," / "&amp;'作業計画'!K72)&amp;IF('作業計画'!L72="",""," / "&amp;'作業計画'!L72)</x:f>
        <x:v>00049 / 00046</x:v>
      </x:c>
      <x:c r="AN72" s="250" t="str">
        <x:f>'作業計画'!Y72</x:f>
        <x:v>Watermarkテーブル・更新タイミング・再実行制御</x:v>
      </x:c>
      <x:c r="AO72" s="250" t="str">
        <x:f>IF('作業計画'!Z72="","",'作業計画'!Z72)</x:f>
      </x:c>
      <x:c r="AP72" s="251" t="str">
        <x:f>'作業計画'!X72</x:f>
        <x:v>原資料展開</x:v>
      </x:c>
    </x:row>
    <x:row r="73" ht="54" customHeight="1">
      <x:c r="A73" s="458" t="str">
        <x:f>'作業計画'!A73</x:f>
        <x:v>00067</x:v>
      </x:c>
      <x:c r="B73" s="330" t="str">
        <x:f>'作業計画'!B73</x:f>
        <x:v>04.開発</x:v>
      </x:c>
      <x:c r="C73" s="253" t="str">
        <x:f>'作業計画'!C73</x:f>
        <x:v>OutputPipeline：Dataverseコピー用1件作成</x:v>
      </x:c>
      <x:c r="D73" s="253" t="str">
        <x:f>'作業計画'!D73</x:f>
        <x:v>開発担当（要確定）</x:v>
      </x:c>
      <x:c r="E73" s="253" t="str">
        <x:f>'作業計画'!E73</x:f>
        <x:v>OutputPipeline／Dataverse</x:v>
      </x:c>
      <x:c r="F73" s="291" t="str">
        <x:f>'作業計画'!F73</x:f>
        <x:v>1.高</x:v>
      </x:c>
      <x:c r="G73" s="291" t="str">
        <x:f>'作業計画'!G73</x:f>
        <x:v>00.未確認</x:v>
      </x:c>
      <x:c r="H73" s="306" t="str">
        <x:f>IF('作業計画'!$H73="設計",IF('作業計画'!O73="","",'作業計画'!O73),"")</x:f>
      </x:c>
      <x:c r="I73" s="306" t="str">
        <x:f>IF('作業計画'!$H73="設計",IF('作業計画'!P73="","",'作業計画'!P73),"")</x:f>
      </x:c>
      <x:c r="J73" s="306" t="str">
        <x:f>IF('作業計画'!$H73="設計",IF('作業計画'!Q73="","",'作業計画'!Q73),"")</x:f>
      </x:c>
      <x:c r="K73" s="306" t="str">
        <x:f>IF('作業計画'!$H73="設計",IF('作業計画'!R73="","",'作業計画'!R73),"")</x:f>
      </x:c>
      <x:c r="L73" s="307" t="str">
        <x:f>IF('作業計画'!$H73="設計",'作業計画'!U73,"")</x:f>
      </x:c>
      <x:c r="M73" s="291" t="str">
        <x:f>IF('作業計画'!$H73="設計",'作業計画'!V73,"")</x:f>
      </x:c>
      <x:c r="N73" s="306" t="n">
        <x:f>IF('作業計画'!$H73="開発",IF('作業計画'!O73="","",'作業計画'!O73),"")</x:f>
        <x:v>46405</x:v>
      </x:c>
      <x:c r="O73" s="306" t="n">
        <x:f>IF('作業計画'!$H73="開発",IF('作業計画'!P73="","",'作業計画'!P73),"")</x:f>
        <x:v>46407</x:v>
      </x:c>
      <x:c r="P73" s="306" t="str">
        <x:f>IF('作業計画'!$H73="開発",IF('作業計画'!Q73="","",'作業計画'!Q73),"")</x:f>
      </x:c>
      <x:c r="Q73" s="306" t="str">
        <x:f>IF('作業計画'!$H73="開発",IF('作業計画'!R73="","",'作業計画'!R73),"")</x:f>
      </x:c>
      <x:c r="R73" s="291" t="n">
        <x:f>IF('作業計画'!$H73="開発",'作業計画'!S73,"")</x:f>
        <x:v>1</x:v>
      </x:c>
      <x:c r="S73" s="291" t="n">
        <x:f>IF('作業計画'!$H73="開発",'作業計画'!T73,"")</x:f>
        <x:v>0</x:v>
      </x:c>
      <x:c r="T73" s="307" t="n">
        <x:f>IF('作業計画'!$H73="開発",'作業計画'!U73,"")</x:f>
        <x:v>0</x:v>
      </x:c>
      <x:c r="U73" s="291" t="str">
        <x:f>IF('作業計画'!$H73="開発",'作業計画'!V73,"")</x:f>
        <x:v>予定前</x:v>
      </x:c>
      <x:c r="V73" s="306" t="str">
        <x:f>IF('作業計画'!$H73="テスト",IF('作業計画'!O73="","",'作業計画'!O73),"")</x:f>
      </x:c>
      <x:c r="W73" s="306" t="str">
        <x:f>IF('作業計画'!$H73="テスト",IF('作業計画'!P73="","",'作業計画'!P73),"")</x:f>
      </x:c>
      <x:c r="X73" s="306" t="str">
        <x:f>IF('作業計画'!$H73="テスト",IF('作業計画'!Q73="","",'作業計画'!Q73),"")</x:f>
      </x:c>
      <x:c r="Y73" s="306" t="str">
        <x:f>IF('作業計画'!$H73="テスト",IF('作業計画'!R73="","",'作業計画'!R73),"")</x:f>
      </x:c>
      <x:c r="Z73" s="291" t="str">
        <x:f>IF('作業計画'!$H73="テスト",'作業計画'!S73,"")</x:f>
      </x:c>
      <x:c r="AA73" s="291" t="str">
        <x:f>IF('作業計画'!$H73="テスト",'作業計画'!T73,"")</x:f>
      </x:c>
      <x:c r="AB73" s="307" t="str">
        <x:f>IF('作業計画'!$H73="テスト",'作業計画'!U73,"")</x:f>
      </x:c>
      <x:c r="AC73" s="291" t="str">
        <x:f>IF('作業計画'!$H73="テスト",'作業計画'!V73,"")</x:f>
      </x:c>
      <x:c r="AD73" s="306" t="n">
        <x:f>IF('作業計画'!O73="","",'作業計画'!O73)</x:f>
        <x:v>46405</x:v>
      </x:c>
      <x:c r="AE73" s="306" t="n">
        <x:f>IF('作業計画'!P73="","",'作業計画'!P73)</x:f>
        <x:v>46407</x:v>
      </x:c>
      <x:c r="AF73" s="306" t="str">
        <x:f>IF('作業計画'!Q73="","",'作業計画'!Q73)</x:f>
      </x:c>
      <x:c r="AG73" s="306" t="str">
        <x:f>IF('作業計画'!R73="","",'作業計画'!R73)</x:f>
      </x:c>
      <x:c r="AH73" s="291" t="n">
        <x:f>'作業計画'!S73</x:f>
        <x:v>1</x:v>
      </x:c>
      <x:c r="AI73" s="291" t="n">
        <x:f>'作業計画'!T73</x:f>
        <x:v>0</x:v>
      </x:c>
      <x:c r="AJ73" s="307" t="n">
        <x:f>'作業計画'!U73</x:f>
        <x:v>0</x:v>
      </x:c>
      <x:c r="AK73" s="291" t="str">
        <x:f>'作業計画'!V73</x:f>
        <x:v>予定前</x:v>
      </x:c>
      <x:c r="AL73" s="291" t="str">
        <x:f>'作業計画'!W73</x:f>
        <x:v>49</x:v>
      </x:c>
      <x:c r="AM73" s="291" t="str">
        <x:f>'作業計画'!J73&amp;IF('作業計画'!K73="",""," / "&amp;'作業計画'!K73)&amp;IF('作業計画'!L73="",""," / "&amp;'作業計画'!L73)</x:f>
        <x:v>00028 / 00066 / 00065</x:v>
      </x:c>
      <x:c r="AN73" s="253" t="str">
        <x:f>'作業計画'!Y73</x:f>
        <x:v>5テーブルの連携・失敗検知・再実行を含む出力Pipeline</x:v>
      </x:c>
      <x:c r="AO73" s="253" t="str">
        <x:f>IF('作業計画'!Z73="","",'作業計画'!Z73)</x:f>
      </x:c>
      <x:c r="AP73" s="254" t="str">
        <x:f>'作業計画'!X73</x:f>
        <x:v>原資料展開</x:v>
      </x:c>
    </x:row>
    <x:row r="74" ht="54" customHeight="1">
      <x:c r="A74" s="457" t="str">
        <x:f>'作業計画'!A74</x:f>
        <x:v>00068</x:v>
      </x:c>
      <x:c r="B74" s="330" t="str">
        <x:f>'作業計画'!B74</x:f>
        <x:v>04.開発</x:v>
      </x:c>
      <x:c r="C74" s="250" t="str">
        <x:f>'作業計画'!C74</x:f>
        <x:v>開発成果物レビュー・QA実行準備</x:v>
      </x:c>
      <x:c r="D74" s="250" t="str">
        <x:f>'作業計画'!D74</x:f>
        <x:v>開発リーダー（要確定）</x:v>
      </x:c>
      <x:c r="E74" s="250" t="str">
        <x:f>'作業計画'!E74</x:f>
        <x:v>Fabric</x:v>
      </x:c>
      <x:c r="F74" s="289" t="str">
        <x:f>'作業計画'!F74</x:f>
        <x:v>2.中</x:v>
      </x:c>
      <x:c r="G74" s="289" t="str">
        <x:f>'作業計画'!G74</x:f>
        <x:v>00.未確認</x:v>
      </x:c>
      <x:c r="H74" s="304" t="str">
        <x:f>IF('作業計画'!$H74="設計",IF('作業計画'!O74="","",'作業計画'!O74),"")</x:f>
      </x:c>
      <x:c r="I74" s="304" t="str">
        <x:f>IF('作業計画'!$H74="設計",IF('作業計画'!P74="","",'作業計画'!P74),"")</x:f>
      </x:c>
      <x:c r="J74" s="304" t="str">
        <x:f>IF('作業計画'!$H74="設計",IF('作業計画'!Q74="","",'作業計画'!Q74),"")</x:f>
      </x:c>
      <x:c r="K74" s="304" t="str">
        <x:f>IF('作業計画'!$H74="設計",IF('作業計画'!R74="","",'作業計画'!R74),"")</x:f>
      </x:c>
      <x:c r="L74" s="305" t="str">
        <x:f>IF('作業計画'!$H74="設計",'作業計画'!U74,"")</x:f>
      </x:c>
      <x:c r="M74" s="289" t="str">
        <x:f>IF('作業計画'!$H74="設計",'作業計画'!V74,"")</x:f>
      </x:c>
      <x:c r="N74" s="304" t="n">
        <x:f>IF('作業計画'!$H74="開発",IF('作業計画'!O74="","",'作業計画'!O74),"")</x:f>
        <x:v>46408</x:v>
      </x:c>
      <x:c r="O74" s="304" t="n">
        <x:f>IF('作業計画'!$H74="開発",IF('作業計画'!P74="","",'作業計画'!P74),"")</x:f>
        <x:v>46409</x:v>
      </x:c>
      <x:c r="P74" s="304" t="str">
        <x:f>IF('作業計画'!$H74="開発",IF('作業計画'!Q74="","",'作業計画'!Q74),"")</x:f>
      </x:c>
      <x:c r="Q74" s="304" t="str">
        <x:f>IF('作業計画'!$H74="開発",IF('作業計画'!R74="","",'作業計画'!R74),"")</x:f>
      </x:c>
      <x:c r="R74" s="289" t="n">
        <x:f>IF('作業計画'!$H74="開発",'作業計画'!S74,"")</x:f>
        <x:v>1</x:v>
      </x:c>
      <x:c r="S74" s="289" t="n">
        <x:f>IF('作業計画'!$H74="開発",'作業計画'!T74,"")</x:f>
        <x:v>0</x:v>
      </x:c>
      <x:c r="T74" s="305" t="n">
        <x:f>IF('作業計画'!$H74="開発",'作業計画'!U74,"")</x:f>
        <x:v>0</x:v>
      </x:c>
      <x:c r="U74" s="289" t="str">
        <x:f>IF('作業計画'!$H74="開発",'作業計画'!V74,"")</x:f>
        <x:v>予定前</x:v>
      </x:c>
      <x:c r="V74" s="304" t="str">
        <x:f>IF('作業計画'!$H74="テスト",IF('作業計画'!O74="","",'作業計画'!O74),"")</x:f>
      </x:c>
      <x:c r="W74" s="304" t="str">
        <x:f>IF('作業計画'!$H74="テスト",IF('作業計画'!P74="","",'作業計画'!P74),"")</x:f>
      </x:c>
      <x:c r="X74" s="304" t="str">
        <x:f>IF('作業計画'!$H74="テスト",IF('作業計画'!Q74="","",'作業計画'!Q74),"")</x:f>
      </x:c>
      <x:c r="Y74" s="304" t="str">
        <x:f>IF('作業計画'!$H74="テスト",IF('作業計画'!R74="","",'作業計画'!R74),"")</x:f>
      </x:c>
      <x:c r="Z74" s="289" t="str">
        <x:f>IF('作業計画'!$H74="テスト",'作業計画'!S74,"")</x:f>
      </x:c>
      <x:c r="AA74" s="289" t="str">
        <x:f>IF('作業計画'!$H74="テスト",'作業計画'!T74,"")</x:f>
      </x:c>
      <x:c r="AB74" s="305" t="str">
        <x:f>IF('作業計画'!$H74="テスト",'作業計画'!U74,"")</x:f>
      </x:c>
      <x:c r="AC74" s="289" t="str">
        <x:f>IF('作業計画'!$H74="テスト",'作業計画'!V74,"")</x:f>
      </x:c>
      <x:c r="AD74" s="304" t="n">
        <x:f>IF('作業計画'!O74="","",'作業計画'!O74)</x:f>
        <x:v>46408</x:v>
      </x:c>
      <x:c r="AE74" s="304" t="n">
        <x:f>IF('作業計画'!P74="","",'作業計画'!P74)</x:f>
        <x:v>46409</x:v>
      </x:c>
      <x:c r="AF74" s="304" t="str">
        <x:f>IF('作業計画'!Q74="","",'作業計画'!Q74)</x:f>
      </x:c>
      <x:c r="AG74" s="304" t="str">
        <x:f>IF('作業計画'!R74="","",'作業計画'!R74)</x:f>
      </x:c>
      <x:c r="AH74" s="289" t="n">
        <x:f>'作業計画'!S74</x:f>
        <x:v>1</x:v>
      </x:c>
      <x:c r="AI74" s="289" t="n">
        <x:f>'作業計画'!T74</x:f>
        <x:v>0</x:v>
      </x:c>
      <x:c r="AJ74" s="305" t="n">
        <x:f>'作業計画'!U74</x:f>
        <x:v>0</x:v>
      </x:c>
      <x:c r="AK74" s="289" t="str">
        <x:f>'作業計画'!V74</x:f>
        <x:v>予定前</x:v>
      </x:c>
      <x:c r="AL74" s="289" t="str">
        <x:f>'作業計画'!W74</x:f>
        <x:v>41／45／48／49</x:v>
      </x:c>
      <x:c r="AM74" s="289" t="str">
        <x:f>'作業計画'!J74&amp;IF('作業計画'!K74="",""," / "&amp;'作業計画'!K74)&amp;IF('作業計画'!L74="",""," / "&amp;'作業計画'!L74)</x:f>
        <x:v>00067 / 00060 / 00037</x:v>
      </x:c>
      <x:c r="AN74" s="250" t="str">
        <x:f>'作業計画'!Y74</x:f>
        <x:v>開発レビュー記録・QAへの配置と設定確認</x:v>
      </x:c>
      <x:c r="AO74" s="250" t="str">
        <x:f>IF('作業計画'!Z74="","",'作業計画'!Z74)</x:f>
      </x:c>
      <x:c r="AP74" s="251" t="str">
        <x:f>'作業計画'!X74</x:f>
        <x:v>補足（開発完了判定）</x:v>
      </x:c>
    </x:row>
    <x:row r="75" ht="54" customHeight="1">
      <x:c r="A75" s="458" t="str">
        <x:f>'作業計画'!A75</x:f>
        <x:v>00069</x:v>
      </x:c>
      <x:c r="B75" s="332" t="str">
        <x:f>'作業計画'!B75</x:f>
        <x:v>05.単体テスト</x:v>
      </x:c>
      <x:c r="C75" s="253" t="str">
        <x:f>'作業計画'!C75</x:f>
        <x:v>単体・結合の試験仕様・データ・判定基準作成</x:v>
      </x:c>
      <x:c r="D75" s="253" t="str">
        <x:f>'作業計画'!D75</x:f>
        <x:v>テスト担当（要確定）</x:v>
      </x:c>
      <x:c r="E75" s="253" t="str">
        <x:f>'作業計画'!E75</x:f>
        <x:v>Fabric</x:v>
      </x:c>
      <x:c r="F75" s="291" t="str">
        <x:f>'作業計画'!F75</x:f>
        <x:v>2.中</x:v>
      </x:c>
      <x:c r="G75" s="291" t="str">
        <x:f>'作業計画'!G75</x:f>
        <x:v>00.未確認</x:v>
      </x:c>
      <x:c r="H75" s="306" t="str">
        <x:f>IF('作業計画'!$H75="設計",IF('作業計画'!O75="","",'作業計画'!O75),"")</x:f>
      </x:c>
      <x:c r="I75" s="306" t="str">
        <x:f>IF('作業計画'!$H75="設計",IF('作業計画'!P75="","",'作業計画'!P75),"")</x:f>
      </x:c>
      <x:c r="J75" s="306" t="str">
        <x:f>IF('作業計画'!$H75="設計",IF('作業計画'!Q75="","",'作業計画'!Q75),"")</x:f>
      </x:c>
      <x:c r="K75" s="306" t="str">
        <x:f>IF('作業計画'!$H75="設計",IF('作業計画'!R75="","",'作業計画'!R75),"")</x:f>
      </x:c>
      <x:c r="L75" s="307" t="str">
        <x:f>IF('作業計画'!$H75="設計",'作業計画'!U75,"")</x:f>
      </x:c>
      <x:c r="M75" s="291" t="str">
        <x:f>IF('作業計画'!$H75="設計",'作業計画'!V75,"")</x:f>
      </x:c>
      <x:c r="N75" s="306" t="str">
        <x:f>IF('作業計画'!$H75="開発",IF('作業計画'!O75="","",'作業計画'!O75),"")</x:f>
      </x:c>
      <x:c r="O75" s="306" t="str">
        <x:f>IF('作業計画'!$H75="開発",IF('作業計画'!P75="","",'作業計画'!P75),"")</x:f>
      </x:c>
      <x:c r="P75" s="306" t="str">
        <x:f>IF('作業計画'!$H75="開発",IF('作業計画'!Q75="","",'作業計画'!Q75),"")</x:f>
      </x:c>
      <x:c r="Q75" s="306" t="str">
        <x:f>IF('作業計画'!$H75="開発",IF('作業計画'!R75="","",'作業計画'!R75),"")</x:f>
      </x:c>
      <x:c r="R75" s="291" t="str">
        <x:f>IF('作業計画'!$H75="開発",'作業計画'!S75,"")</x:f>
      </x:c>
      <x:c r="S75" s="291" t="str">
        <x:f>IF('作業計画'!$H75="開発",'作業計画'!T75,"")</x:f>
      </x:c>
      <x:c r="T75" s="307" t="str">
        <x:f>IF('作業計画'!$H75="開発",'作業計画'!U75,"")</x:f>
      </x:c>
      <x:c r="U75" s="291" t="str">
        <x:f>IF('作業計画'!$H75="開発",'作業計画'!V75,"")</x:f>
      </x:c>
      <x:c r="V75" s="306" t="n">
        <x:f>IF('作業計画'!$H75="テスト",IF('作業計画'!O75="","",'作業計画'!O75),"")</x:f>
        <x:v>46364</x:v>
      </x:c>
      <x:c r="W75" s="306" t="n">
        <x:f>IF('作業計画'!$H75="テスト",IF('作業計画'!P75="","",'作業計画'!P75),"")</x:f>
        <x:v>46366</x:v>
      </x:c>
      <x:c r="X75" s="306" t="str">
        <x:f>IF('作業計画'!$H75="テスト",IF('作業計画'!Q75="","",'作業計画'!Q75),"")</x:f>
      </x:c>
      <x:c r="Y75" s="306" t="str">
        <x:f>IF('作業計画'!$H75="テスト",IF('作業計画'!R75="","",'作業計画'!R75),"")</x:f>
      </x:c>
      <x:c r="Z75" s="291" t="n">
        <x:f>IF('作業計画'!$H75="テスト",'作業計画'!S75,"")</x:f>
        <x:v>1</x:v>
      </x:c>
      <x:c r="AA75" s="291" t="n">
        <x:f>IF('作業計画'!$H75="テスト",'作業計画'!T75,"")</x:f>
        <x:v>0</x:v>
      </x:c>
      <x:c r="AB75" s="307" t="n">
        <x:f>IF('作業計画'!$H75="テスト",'作業計画'!U75,"")</x:f>
        <x:v>0</x:v>
      </x:c>
      <x:c r="AC75" s="291" t="str">
        <x:f>IF('作業計画'!$H75="テスト",'作業計画'!V75,"")</x:f>
        <x:v>予定前</x:v>
      </x:c>
      <x:c r="AD75" s="306" t="n">
        <x:f>IF('作業計画'!O75="","",'作業計画'!O75)</x:f>
        <x:v>46364</x:v>
      </x:c>
      <x:c r="AE75" s="306" t="n">
        <x:f>IF('作業計画'!P75="","",'作業計画'!P75)</x:f>
        <x:v>46366</x:v>
      </x:c>
      <x:c r="AF75" s="306" t="str">
        <x:f>IF('作業計画'!Q75="","",'作業計画'!Q75)</x:f>
      </x:c>
      <x:c r="AG75" s="306" t="str">
        <x:f>IF('作業計画'!R75="","",'作業計画'!R75)</x:f>
      </x:c>
      <x:c r="AH75" s="291" t="n">
        <x:f>'作業計画'!S75</x:f>
        <x:v>1</x:v>
      </x:c>
      <x:c r="AI75" s="291" t="n">
        <x:f>'作業計画'!T75</x:f>
        <x:v>0</x:v>
      </x:c>
      <x:c r="AJ75" s="307" t="n">
        <x:f>'作業計画'!U75</x:f>
        <x:v>0</x:v>
      </x:c>
      <x:c r="AK75" s="291" t="str">
        <x:f>'作業計画'!V75</x:f>
        <x:v>予定前</x:v>
      </x:c>
      <x:c r="AL75" s="291" t="str">
        <x:f>'作業計画'!W75</x:f>
        <x:v>50／51／52／53／54／55／56／57／58</x:v>
      </x:c>
      <x:c r="AM75" s="291" t="str">
        <x:f>'作業計画'!J75&amp;IF('作業計画'!K75="",""," / "&amp;'作業計画'!K75)&amp;IF('作業計画'!L75="",""," / "&amp;'作業計画'!L75)</x:f>
        <x:v>00017 / 00036 / 00037</x:v>
      </x:c>
      <x:c r="AN75" s="253" t="str">
        <x:f>'作業計画'!Y75</x:f>
        <x:v>テスト仕様・期待結果・データ・証跡取得方法</x:v>
      </x:c>
      <x:c r="AO75" s="253" t="str">
        <x:f>IF('作業計画'!Z75="","",'作業計画'!Z75)</x:f>
      </x:c>
      <x:c r="AP75" s="254" t="str">
        <x:f>'作業計画'!X75</x:f>
        <x:v>補足（テスト準備）</x:v>
      </x:c>
    </x:row>
    <x:row r="76" ht="54" customHeight="1">
      <x:c r="A76" s="457" t="str">
        <x:f>'作業計画'!A76</x:f>
        <x:v>00070</x:v>
      </x:c>
      <x:c r="B76" s="332" t="str">
        <x:f>'作業計画'!B76</x:f>
        <x:v>05.単体テスト</x:v>
      </x:c>
      <x:c r="C76" s="250" t="str">
        <x:f>'作業計画'!C76</x:f>
        <x:v>BronzeLakehouse：追加テーブル単体テスト</x:v>
      </x:c>
      <x:c r="D76" s="250" t="str">
        <x:f>'作業計画'!D76</x:f>
        <x:v>テスト担当（要確定）</x:v>
      </x:c>
      <x:c r="E76" s="250" t="str">
        <x:f>'作業計画'!E76</x:f>
        <x:v>BronzeLakehouse</x:v>
      </x:c>
      <x:c r="F76" s="289" t="str">
        <x:f>'作業計画'!F76</x:f>
        <x:v>2.中</x:v>
      </x:c>
      <x:c r="G76" s="289" t="str">
        <x:f>'作業計画'!G76</x:f>
        <x:v>00.未確認</x:v>
      </x:c>
      <x:c r="H76" s="304" t="str">
        <x:f>IF('作業計画'!$H76="設計",IF('作業計画'!O76="","",'作業計画'!O76),"")</x:f>
      </x:c>
      <x:c r="I76" s="304" t="str">
        <x:f>IF('作業計画'!$H76="設計",IF('作業計画'!P76="","",'作業計画'!P76),"")</x:f>
      </x:c>
      <x:c r="J76" s="304" t="str">
        <x:f>IF('作業計画'!$H76="設計",IF('作業計画'!Q76="","",'作業計画'!Q76),"")</x:f>
      </x:c>
      <x:c r="K76" s="304" t="str">
        <x:f>IF('作業計画'!$H76="設計",IF('作業計画'!R76="","",'作業計画'!R76),"")</x:f>
      </x:c>
      <x:c r="L76" s="305" t="str">
        <x:f>IF('作業計画'!$H76="設計",'作業計画'!U76,"")</x:f>
      </x:c>
      <x:c r="M76" s="289" t="str">
        <x:f>IF('作業計画'!$H76="設計",'作業計画'!V76,"")</x:f>
      </x:c>
      <x:c r="N76" s="304" t="str">
        <x:f>IF('作業計画'!$H76="開発",IF('作業計画'!O76="","",'作業計画'!O76),"")</x:f>
      </x:c>
      <x:c r="O76" s="304" t="str">
        <x:f>IF('作業計画'!$H76="開発",IF('作業計画'!P76="","",'作業計画'!P76),"")</x:f>
      </x:c>
      <x:c r="P76" s="304" t="str">
        <x:f>IF('作業計画'!$H76="開発",IF('作業計画'!Q76="","",'作業計画'!Q76),"")</x:f>
      </x:c>
      <x:c r="Q76" s="304" t="str">
        <x:f>IF('作業計画'!$H76="開発",IF('作業計画'!R76="","",'作業計画'!R76),"")</x:f>
      </x:c>
      <x:c r="R76" s="289" t="str">
        <x:f>IF('作業計画'!$H76="開発",'作業計画'!S76,"")</x:f>
      </x:c>
      <x:c r="S76" s="289" t="str">
        <x:f>IF('作業計画'!$H76="開発",'作業計画'!T76,"")</x:f>
      </x:c>
      <x:c r="T76" s="305" t="str">
        <x:f>IF('作業計画'!$H76="開発",'作業計画'!U76,"")</x:f>
      </x:c>
      <x:c r="U76" s="289" t="str">
        <x:f>IF('作業計画'!$H76="開発",'作業計画'!V76,"")</x:f>
      </x:c>
      <x:c r="V76" s="304" t="n">
        <x:f>IF('作業計画'!$H76="テスト",IF('作業計画'!O76="","",'作業計画'!O76),"")</x:f>
        <x:v>46367</x:v>
      </x:c>
      <x:c r="W76" s="304" t="n">
        <x:f>IF('作業計画'!$H76="テスト",IF('作業計画'!P76="","",'作業計画'!P76),"")</x:f>
        <x:v>46371</x:v>
      </x:c>
      <x:c r="X76" s="304" t="str">
        <x:f>IF('作業計画'!$H76="テスト",IF('作業計画'!Q76="","",'作業計画'!Q76),"")</x:f>
      </x:c>
      <x:c r="Y76" s="304" t="str">
        <x:f>IF('作業計画'!$H76="テスト",IF('作業計画'!R76="","",'作業計画'!R76),"")</x:f>
      </x:c>
      <x:c r="Z76" s="289" t="n">
        <x:f>IF('作業計画'!$H76="テスト",'作業計画'!S76,"")</x:f>
        <x:v>1</x:v>
      </x:c>
      <x:c r="AA76" s="289" t="n">
        <x:f>IF('作業計画'!$H76="テスト",'作業計画'!T76,"")</x:f>
        <x:v>0</x:v>
      </x:c>
      <x:c r="AB76" s="305" t="n">
        <x:f>IF('作業計画'!$H76="テスト",'作業計画'!U76,"")</x:f>
        <x:v>0</x:v>
      </x:c>
      <x:c r="AC76" s="289" t="str">
        <x:f>IF('作業計画'!$H76="テスト",'作業計画'!V76,"")</x:f>
        <x:v>予定前</x:v>
      </x:c>
      <x:c r="AD76" s="304" t="n">
        <x:f>IF('作業計画'!O76="","",'作業計画'!O76)</x:f>
        <x:v>46367</x:v>
      </x:c>
      <x:c r="AE76" s="304" t="n">
        <x:f>IF('作業計画'!P76="","",'作業計画'!P76)</x:f>
        <x:v>46371</x:v>
      </x:c>
      <x:c r="AF76" s="304" t="str">
        <x:f>IF('作業計画'!Q76="","",'作業計画'!Q76)</x:f>
      </x:c>
      <x:c r="AG76" s="304" t="str">
        <x:f>IF('作業計画'!R76="","",'作業計画'!R76)</x:f>
      </x:c>
      <x:c r="AH76" s="289" t="n">
        <x:f>'作業計画'!S76</x:f>
        <x:v>1</x:v>
      </x:c>
      <x:c r="AI76" s="289" t="n">
        <x:f>'作業計画'!T76</x:f>
        <x:v>0</x:v>
      </x:c>
      <x:c r="AJ76" s="305" t="n">
        <x:f>'作業計画'!U76</x:f>
        <x:v>0</x:v>
      </x:c>
      <x:c r="AK76" s="289" t="str">
        <x:f>'作業計画'!V76</x:f>
        <x:v>予定前</x:v>
      </x:c>
      <x:c r="AL76" s="289" t="str">
        <x:f>'作業計画'!W76</x:f>
        <x:v>50</x:v>
      </x:c>
      <x:c r="AM76" s="289" t="str">
        <x:f>'作業計画'!J76&amp;IF('作業計画'!K76="",""," / "&amp;'作業計画'!K76)&amp;IF('作業計画'!L76="",""," / "&amp;'作業計画'!L76)</x:f>
        <x:v>00069 / 00042</x:v>
      </x:c>
      <x:c r="AN76" s="250" t="str">
        <x:f>'作業計画'!Y76</x:f>
        <x:v>追加テーブルの列・型・件数・値の照合エビデンス</x:v>
      </x:c>
      <x:c r="AO76" s="250" t="str">
        <x:f>IF('作業計画'!Z76="","",'作業計画'!Z76)</x:f>
        <x:v>対象数量・試験件数は追加テーブル確定後に設定。</x:v>
      </x:c>
      <x:c r="AP76" s="251" t="str">
        <x:f>'作業計画'!X76</x:f>
        <x:v>原資料展開</x:v>
      </x:c>
    </x:row>
    <x:row r="77" ht="54" customHeight="1">
      <x:c r="A77" s="458" t="str">
        <x:f>'作業計画'!A77</x:f>
        <x:v>00071</x:v>
      </x:c>
      <x:c r="B77" s="332" t="str">
        <x:f>'作業計画'!B77</x:f>
        <x:v>05.単体テスト</x:v>
      </x:c>
      <x:c r="C77" s="253" t="str">
        <x:f>'作業計画'!C77</x:f>
        <x:v>SilverLakehouse：追加テーブル単体テスト</x:v>
      </x:c>
      <x:c r="D77" s="253" t="str">
        <x:f>'作業計画'!D77</x:f>
        <x:v>テスト担当（要確定）</x:v>
      </x:c>
      <x:c r="E77" s="253" t="str">
        <x:f>'作業計画'!E77</x:f>
        <x:v>SilverLakehouse</x:v>
      </x:c>
      <x:c r="F77" s="291" t="str">
        <x:f>'作業計画'!F77</x:f>
        <x:v>2.中</x:v>
      </x:c>
      <x:c r="G77" s="291" t="str">
        <x:f>'作業計画'!G77</x:f>
        <x:v>00.未確認</x:v>
      </x:c>
      <x:c r="H77" s="306" t="str">
        <x:f>IF('作業計画'!$H77="設計",IF('作業計画'!O77="","",'作業計画'!O77),"")</x:f>
      </x:c>
      <x:c r="I77" s="306" t="str">
        <x:f>IF('作業計画'!$H77="設計",IF('作業計画'!P77="","",'作業計画'!P77),"")</x:f>
      </x:c>
      <x:c r="J77" s="306" t="str">
        <x:f>IF('作業計画'!$H77="設計",IF('作業計画'!Q77="","",'作業計画'!Q77),"")</x:f>
      </x:c>
      <x:c r="K77" s="306" t="str">
        <x:f>IF('作業計画'!$H77="設計",IF('作業計画'!R77="","",'作業計画'!R77),"")</x:f>
      </x:c>
      <x:c r="L77" s="307" t="str">
        <x:f>IF('作業計画'!$H77="設計",'作業計画'!U77,"")</x:f>
      </x:c>
      <x:c r="M77" s="291" t="str">
        <x:f>IF('作業計画'!$H77="設計",'作業計画'!V77,"")</x:f>
      </x:c>
      <x:c r="N77" s="306" t="str">
        <x:f>IF('作業計画'!$H77="開発",IF('作業計画'!O77="","",'作業計画'!O77),"")</x:f>
      </x:c>
      <x:c r="O77" s="306" t="str">
        <x:f>IF('作業計画'!$H77="開発",IF('作業計画'!P77="","",'作業計画'!P77),"")</x:f>
      </x:c>
      <x:c r="P77" s="306" t="str">
        <x:f>IF('作業計画'!$H77="開発",IF('作業計画'!Q77="","",'作業計画'!Q77),"")</x:f>
      </x:c>
      <x:c r="Q77" s="306" t="str">
        <x:f>IF('作業計画'!$H77="開発",IF('作業計画'!R77="","",'作業計画'!R77),"")</x:f>
      </x:c>
      <x:c r="R77" s="291" t="str">
        <x:f>IF('作業計画'!$H77="開発",'作業計画'!S77,"")</x:f>
      </x:c>
      <x:c r="S77" s="291" t="str">
        <x:f>IF('作業計画'!$H77="開発",'作業計画'!T77,"")</x:f>
      </x:c>
      <x:c r="T77" s="307" t="str">
        <x:f>IF('作業計画'!$H77="開発",'作業計画'!U77,"")</x:f>
      </x:c>
      <x:c r="U77" s="291" t="str">
        <x:f>IF('作業計画'!$H77="開発",'作業計画'!V77,"")</x:f>
      </x:c>
      <x:c r="V77" s="306" t="n">
        <x:f>IF('作業計画'!$H77="テスト",IF('作業計画'!O77="","",'作業計画'!O77),"")</x:f>
        <x:v>46372</x:v>
      </x:c>
      <x:c r="W77" s="306" t="n">
        <x:f>IF('作業計画'!$H77="テスト",IF('作業計画'!P77="","",'作業計画'!P77),"")</x:f>
        <x:v>46374</x:v>
      </x:c>
      <x:c r="X77" s="306" t="str">
        <x:f>IF('作業計画'!$H77="テスト",IF('作業計画'!Q77="","",'作業計画'!Q77),"")</x:f>
      </x:c>
      <x:c r="Y77" s="306" t="str">
        <x:f>IF('作業計画'!$H77="テスト",IF('作業計画'!R77="","",'作業計画'!R77),"")</x:f>
      </x:c>
      <x:c r="Z77" s="291" t="n">
        <x:f>IF('作業計画'!$H77="テスト",'作業計画'!S77,"")</x:f>
        <x:v>1</x:v>
      </x:c>
      <x:c r="AA77" s="291" t="n">
        <x:f>IF('作業計画'!$H77="テスト",'作業計画'!T77,"")</x:f>
        <x:v>0</x:v>
      </x:c>
      <x:c r="AB77" s="307" t="n">
        <x:f>IF('作業計画'!$H77="テスト",'作業計画'!U77,"")</x:f>
        <x:v>0</x:v>
      </x:c>
      <x:c r="AC77" s="291" t="str">
        <x:f>IF('作業計画'!$H77="テスト",'作業計画'!V77,"")</x:f>
        <x:v>予定前</x:v>
      </x:c>
      <x:c r="AD77" s="306" t="n">
        <x:f>IF('作業計画'!O77="","",'作業計画'!O77)</x:f>
        <x:v>46372</x:v>
      </x:c>
      <x:c r="AE77" s="306" t="n">
        <x:f>IF('作業計画'!P77="","",'作業計画'!P77)</x:f>
        <x:v>46374</x:v>
      </x:c>
      <x:c r="AF77" s="306" t="str">
        <x:f>IF('作業計画'!Q77="","",'作業計画'!Q77)</x:f>
      </x:c>
      <x:c r="AG77" s="306" t="str">
        <x:f>IF('作業計画'!R77="","",'作業計画'!R77)</x:f>
      </x:c>
      <x:c r="AH77" s="291" t="n">
        <x:f>'作業計画'!S77</x:f>
        <x:v>1</x:v>
      </x:c>
      <x:c r="AI77" s="291" t="n">
        <x:f>'作業計画'!T77</x:f>
        <x:v>0</x:v>
      </x:c>
      <x:c r="AJ77" s="307" t="n">
        <x:f>'作業計画'!U77</x:f>
        <x:v>0</x:v>
      </x:c>
      <x:c r="AK77" s="291" t="str">
        <x:f>'作業計画'!V77</x:f>
        <x:v>予定前</x:v>
      </x:c>
      <x:c r="AL77" s="291" t="str">
        <x:f>'作業計画'!W77</x:f>
        <x:v>51</x:v>
      </x:c>
      <x:c r="AM77" s="291" t="str">
        <x:f>'作業計画'!J77&amp;IF('作業計画'!K77="",""," / "&amp;'作業計画'!K77)&amp;IF('作業計画'!L77="",""," / "&amp;'作業計画'!L77)</x:f>
        <x:v>00070 / 00045</x:v>
      </x:c>
      <x:c r="AN77" s="253" t="str">
        <x:f>'作業計画'!Y77</x:f>
        <x:v>整形・追加列・結合結果の単体テスト記録</x:v>
      </x:c>
      <x:c r="AO77" s="253" t="str">
        <x:f>IF('作業計画'!Z77="","",'作業計画'!Z77)</x:f>
      </x:c>
      <x:c r="AP77" s="254" t="str">
        <x:f>'作業計画'!X77</x:f>
        <x:v>原資料展開</x:v>
      </x:c>
    </x:row>
    <x:row r="78" ht="54" customHeight="1">
      <x:c r="A78" s="457" t="str">
        <x:f>'作業計画'!A78</x:f>
        <x:v>00072</x:v>
      </x:c>
      <x:c r="B78" s="332" t="str">
        <x:f>'作業計画'!B78</x:f>
        <x:v>05.単体テスト</x:v>
      </x:c>
      <x:c r="C78" s="250" t="str">
        <x:f>'作業計画'!C78</x:f>
        <x:v>SQL共通Function：正常・境界・NULLの単体テスト</x:v>
      </x:c>
      <x:c r="D78" s="250" t="str">
        <x:f>'作業計画'!D78</x:f>
        <x:v>テスト担当（要確定）</x:v>
      </x:c>
      <x:c r="E78" s="250" t="str">
        <x:f>'作業計画'!E78</x:f>
        <x:v>Fabric</x:v>
      </x:c>
      <x:c r="F78" s="289" t="str">
        <x:f>'作業計画'!F78</x:f>
        <x:v>2.中</x:v>
      </x:c>
      <x:c r="G78" s="289" t="str">
        <x:f>'作業計画'!G78</x:f>
        <x:v>00.未確認</x:v>
      </x:c>
      <x:c r="H78" s="304" t="str">
        <x:f>IF('作業計画'!$H78="設計",IF('作業計画'!O78="","",'作業計画'!O78),"")</x:f>
      </x:c>
      <x:c r="I78" s="304" t="str">
        <x:f>IF('作業計画'!$H78="設計",IF('作業計画'!P78="","",'作業計画'!P78),"")</x:f>
      </x:c>
      <x:c r="J78" s="304" t="str">
        <x:f>IF('作業計画'!$H78="設計",IF('作業計画'!Q78="","",'作業計画'!Q78),"")</x:f>
      </x:c>
      <x:c r="K78" s="304" t="str">
        <x:f>IF('作業計画'!$H78="設計",IF('作業計画'!R78="","",'作業計画'!R78),"")</x:f>
      </x:c>
      <x:c r="L78" s="305" t="str">
        <x:f>IF('作業計画'!$H78="設計",'作業計画'!U78,"")</x:f>
      </x:c>
      <x:c r="M78" s="289" t="str">
        <x:f>IF('作業計画'!$H78="設計",'作業計画'!V78,"")</x:f>
      </x:c>
      <x:c r="N78" s="304" t="str">
        <x:f>IF('作業計画'!$H78="開発",IF('作業計画'!O78="","",'作業計画'!O78),"")</x:f>
      </x:c>
      <x:c r="O78" s="304" t="str">
        <x:f>IF('作業計画'!$H78="開発",IF('作業計画'!P78="","",'作業計画'!P78),"")</x:f>
      </x:c>
      <x:c r="P78" s="304" t="str">
        <x:f>IF('作業計画'!$H78="開発",IF('作業計画'!Q78="","",'作業計画'!Q78),"")</x:f>
      </x:c>
      <x:c r="Q78" s="304" t="str">
        <x:f>IF('作業計画'!$H78="開発",IF('作業計画'!R78="","",'作業計画'!R78),"")</x:f>
      </x:c>
      <x:c r="R78" s="289" t="str">
        <x:f>IF('作業計画'!$H78="開発",'作業計画'!S78,"")</x:f>
      </x:c>
      <x:c r="S78" s="289" t="str">
        <x:f>IF('作業計画'!$H78="開発",'作業計画'!T78,"")</x:f>
      </x:c>
      <x:c r="T78" s="305" t="str">
        <x:f>IF('作業計画'!$H78="開発",'作業計画'!U78,"")</x:f>
      </x:c>
      <x:c r="U78" s="289" t="str">
        <x:f>IF('作業計画'!$H78="開発",'作業計画'!V78,"")</x:f>
      </x:c>
      <x:c r="V78" s="304" t="n">
        <x:f>IF('作業計画'!$H78="テスト",IF('作業計画'!O78="","",'作業計画'!O78),"")</x:f>
        <x:v>46379</x:v>
      </x:c>
      <x:c r="W78" s="304" t="n">
        <x:f>IF('作業計画'!$H78="テスト",IF('作業計画'!P78="","",'作業計画'!P78),"")</x:f>
        <x:v>46380</x:v>
      </x:c>
      <x:c r="X78" s="304" t="str">
        <x:f>IF('作業計画'!$H78="テスト",IF('作業計画'!Q78="","",'作業計画'!Q78),"")</x:f>
      </x:c>
      <x:c r="Y78" s="304" t="str">
        <x:f>IF('作業計画'!$H78="テスト",IF('作業計画'!R78="","",'作業計画'!R78),"")</x:f>
      </x:c>
      <x:c r="Z78" s="289" t="n">
        <x:f>IF('作業計画'!$H78="テスト",'作業計画'!S78,"")</x:f>
        <x:v>1</x:v>
      </x:c>
      <x:c r="AA78" s="289" t="n">
        <x:f>IF('作業計画'!$H78="テスト",'作業計画'!T78,"")</x:f>
        <x:v>0</x:v>
      </x:c>
      <x:c r="AB78" s="305" t="n">
        <x:f>IF('作業計画'!$H78="テスト",'作業計画'!U78,"")</x:f>
        <x:v>0</x:v>
      </x:c>
      <x:c r="AC78" s="289" t="str">
        <x:f>IF('作業計画'!$H78="テスト",'作業計画'!V78,"")</x:f>
        <x:v>予定前</x:v>
      </x:c>
      <x:c r="AD78" s="304" t="n">
        <x:f>IF('作業計画'!O78="","",'作業計画'!O78)</x:f>
        <x:v>46379</x:v>
      </x:c>
      <x:c r="AE78" s="304" t="n">
        <x:f>IF('作業計画'!P78="","",'作業計画'!P78)</x:f>
        <x:v>46380</x:v>
      </x:c>
      <x:c r="AF78" s="304" t="str">
        <x:f>IF('作業計画'!Q78="","",'作業計画'!Q78)</x:f>
      </x:c>
      <x:c r="AG78" s="304" t="str">
        <x:f>IF('作業計画'!R78="","",'作業計画'!R78)</x:f>
      </x:c>
      <x:c r="AH78" s="289" t="n">
        <x:f>'作業計画'!S78</x:f>
        <x:v>1</x:v>
      </x:c>
      <x:c r="AI78" s="289" t="n">
        <x:f>'作業計画'!T78</x:f>
        <x:v>0</x:v>
      </x:c>
      <x:c r="AJ78" s="305" t="n">
        <x:f>'作業計画'!U78</x:f>
        <x:v>0</x:v>
      </x:c>
      <x:c r="AK78" s="289" t="str">
        <x:f>'作業計画'!V78</x:f>
        <x:v>予定前</x:v>
      </x:c>
      <x:c r="AL78" s="289" t="str">
        <x:f>'作業計画'!W78</x:f>
        <x:v>43／52</x:v>
      </x:c>
      <x:c r="AM78" s="289" t="str">
        <x:f>'作業計画'!J78&amp;IF('作業計画'!K78="",""," / "&amp;'作業計画'!K78)&amp;IF('作業計画'!L78="",""," / "&amp;'作業計画'!L78)</x:f>
        <x:v>00047 / 00069</x:v>
      </x:c>
      <x:c r="AN78" s="250" t="str">
        <x:f>'作業計画'!Y78</x:f>
        <x:v>共通SQL関数の入力／期待結果と証跡</x:v>
      </x:c>
      <x:c r="AO78" s="250" t="str">
        <x:f>IF('作業計画'!Z78="","",'作業計画'!Z78)</x:f>
      </x:c>
      <x:c r="AP78" s="251" t="str">
        <x:f>'作業計画'!X78</x:f>
        <x:v>補足（共通処理の品質確認）</x:v>
      </x:c>
    </x:row>
    <x:row r="79" ht="54" customHeight="1">
      <x:c r="A79" s="458" t="str">
        <x:f>'作業計画'!A79</x:f>
        <x:v>00073</x:v>
      </x:c>
      <x:c r="B79" s="332" t="str">
        <x:f>'作業計画'!B79</x:f>
        <x:v>05.単体テスト</x:v>
      </x:c>
      <x:c r="C79" s="253" t="str">
        <x:f>'作業計画'!C79</x:f>
        <x:v>共通Notebook：参照呼出し・文字列加工テスト</x:v>
      </x:c>
      <x:c r="D79" s="253" t="str">
        <x:f>'作業計画'!D79</x:f>
        <x:v>テスト担当（要確定）</x:v>
      </x:c>
      <x:c r="E79" s="253" t="str">
        <x:f>'作業計画'!E79</x:f>
        <x:v>Fabric Notebook</x:v>
      </x:c>
      <x:c r="F79" s="291" t="str">
        <x:f>'作業計画'!F79</x:f>
        <x:v>2.中</x:v>
      </x:c>
      <x:c r="G79" s="291" t="str">
        <x:f>'作業計画'!G79</x:f>
        <x:v>00.未確認</x:v>
      </x:c>
      <x:c r="H79" s="306" t="str">
        <x:f>IF('作業計画'!$H79="設計",IF('作業計画'!O79="","",'作業計画'!O79),"")</x:f>
      </x:c>
      <x:c r="I79" s="306" t="str">
        <x:f>IF('作業計画'!$H79="設計",IF('作業計画'!P79="","",'作業計画'!P79),"")</x:f>
      </x:c>
      <x:c r="J79" s="306" t="str">
        <x:f>IF('作業計画'!$H79="設計",IF('作業計画'!Q79="","",'作業計画'!Q79),"")</x:f>
      </x:c>
      <x:c r="K79" s="306" t="str">
        <x:f>IF('作業計画'!$H79="設計",IF('作業計画'!R79="","",'作業計画'!R79),"")</x:f>
      </x:c>
      <x:c r="L79" s="307" t="str">
        <x:f>IF('作業計画'!$H79="設計",'作業計画'!U79,"")</x:f>
      </x:c>
      <x:c r="M79" s="291" t="str">
        <x:f>IF('作業計画'!$H79="設計",'作業計画'!V79,"")</x:f>
      </x:c>
      <x:c r="N79" s="306" t="str">
        <x:f>IF('作業計画'!$H79="開発",IF('作業計画'!O79="","",'作業計画'!O79),"")</x:f>
      </x:c>
      <x:c r="O79" s="306" t="str">
        <x:f>IF('作業計画'!$H79="開発",IF('作業計画'!P79="","",'作業計画'!P79),"")</x:f>
      </x:c>
      <x:c r="P79" s="306" t="str">
        <x:f>IF('作業計画'!$H79="開発",IF('作業計画'!Q79="","",'作業計画'!Q79),"")</x:f>
      </x:c>
      <x:c r="Q79" s="306" t="str">
        <x:f>IF('作業計画'!$H79="開発",IF('作業計画'!R79="","",'作業計画'!R79),"")</x:f>
      </x:c>
      <x:c r="R79" s="291" t="str">
        <x:f>IF('作業計画'!$H79="開発",'作業計画'!S79,"")</x:f>
      </x:c>
      <x:c r="S79" s="291" t="str">
        <x:f>IF('作業計画'!$H79="開発",'作業計画'!T79,"")</x:f>
      </x:c>
      <x:c r="T79" s="307" t="str">
        <x:f>IF('作業計画'!$H79="開発",'作業計画'!U79,"")</x:f>
      </x:c>
      <x:c r="U79" s="291" t="str">
        <x:f>IF('作業計画'!$H79="開発",'作業計画'!V79,"")</x:f>
      </x:c>
      <x:c r="V79" s="306" t="n">
        <x:f>IF('作業計画'!$H79="テスト",IF('作業計画'!O79="","",'作業計画'!O79),"")</x:f>
        <x:v>46379</x:v>
      </x:c>
      <x:c r="W79" s="306" t="n">
        <x:f>IF('作業計画'!$H79="テスト",IF('作業計画'!P79="","",'作業計画'!P79),"")</x:f>
        <x:v>46380</x:v>
      </x:c>
      <x:c r="X79" s="306" t="str">
        <x:f>IF('作業計画'!$H79="テスト",IF('作業計画'!Q79="","",'作業計画'!Q79),"")</x:f>
      </x:c>
      <x:c r="Y79" s="306" t="str">
        <x:f>IF('作業計画'!$H79="テスト",IF('作業計画'!R79="","",'作業計画'!R79),"")</x:f>
      </x:c>
      <x:c r="Z79" s="291" t="n">
        <x:f>IF('作業計画'!$H79="テスト",'作業計画'!S79,"")</x:f>
        <x:v>1</x:v>
      </x:c>
      <x:c r="AA79" s="291" t="n">
        <x:f>IF('作業計画'!$H79="テスト",'作業計画'!T79,"")</x:f>
        <x:v>0</x:v>
      </x:c>
      <x:c r="AB79" s="307" t="n">
        <x:f>IF('作業計画'!$H79="テスト",'作業計画'!U79,"")</x:f>
        <x:v>0</x:v>
      </x:c>
      <x:c r="AC79" s="291" t="str">
        <x:f>IF('作業計画'!$H79="テスト",'作業計画'!V79,"")</x:f>
        <x:v>予定前</x:v>
      </x:c>
      <x:c r="AD79" s="306" t="n">
        <x:f>IF('作業計画'!O79="","",'作業計画'!O79)</x:f>
        <x:v>46379</x:v>
      </x:c>
      <x:c r="AE79" s="306" t="n">
        <x:f>IF('作業計画'!P79="","",'作業計画'!P79)</x:f>
        <x:v>46380</x:v>
      </x:c>
      <x:c r="AF79" s="306" t="str">
        <x:f>IF('作業計画'!Q79="","",'作業計画'!Q79)</x:f>
      </x:c>
      <x:c r="AG79" s="306" t="str">
        <x:f>IF('作業計画'!R79="","",'作業計画'!R79)</x:f>
      </x:c>
      <x:c r="AH79" s="291" t="n">
        <x:f>'作業計画'!S79</x:f>
        <x:v>1</x:v>
      </x:c>
      <x:c r="AI79" s="291" t="n">
        <x:f>'作業計画'!T79</x:f>
        <x:v>0</x:v>
      </x:c>
      <x:c r="AJ79" s="307" t="n">
        <x:f>'作業計画'!U79</x:f>
        <x:v>0</x:v>
      </x:c>
      <x:c r="AK79" s="291" t="str">
        <x:f>'作業計画'!V79</x:f>
        <x:v>予定前</x:v>
      </x:c>
      <x:c r="AL79" s="291" t="str">
        <x:f>'作業計画'!W79</x:f>
        <x:v>47</x:v>
      </x:c>
      <x:c r="AM79" s="291" t="str">
        <x:f>'作業計画'!J79&amp;IF('作業計画'!K79="",""," / "&amp;'作業計画'!K79)&amp;IF('作業計画'!L79="",""," / "&amp;'作業計画'!L79)</x:f>
        <x:v>00048 / 00069</x:v>
      </x:c>
      <x:c r="AN79" s="253" t="str">
        <x:f>'作業計画'!Y79</x:f>
        <x:v>共通関数の呼出し・入力型・NULL・空文字・例外の証跡</x:v>
      </x:c>
      <x:c r="AO79" s="253" t="str">
        <x:f>IF('作業計画'!Z79="","",'作業計画'!Z79)</x:f>
      </x:c>
      <x:c r="AP79" s="254" t="str">
        <x:f>'作業計画'!X79</x:f>
        <x:v>補足（共通処理の品質確認）</x:v>
      </x:c>
    </x:row>
    <x:row r="80" ht="54" customHeight="1">
      <x:c r="A80" s="457" t="str">
        <x:f>'作業計画'!A80</x:f>
        <x:v>00074</x:v>
      </x:c>
      <x:c r="B80" s="332" t="str">
        <x:f>'作業計画'!B80</x:f>
        <x:v>05.単体テスト</x:v>
      </x:c>
      <x:c r="C80" s="250" t="str">
        <x:f>'作業計画'!C80</x:f>
        <x:v>差分Notebook：初回・増分・再実行テスト</x:v>
      </x:c>
      <x:c r="D80" s="250" t="str">
        <x:f>'作業計画'!D80</x:f>
        <x:v>テスト担当（要確定）</x:v>
      </x:c>
      <x:c r="E80" s="250" t="str">
        <x:f>'作業計画'!E80</x:f>
        <x:v>Fabric Notebook</x:v>
      </x:c>
      <x:c r="F80" s="289" t="str">
        <x:f>'作業計画'!F80</x:f>
        <x:v>2.中</x:v>
      </x:c>
      <x:c r="G80" s="289" t="str">
        <x:f>'作業計画'!G80</x:f>
        <x:v>00.未確認</x:v>
      </x:c>
      <x:c r="H80" s="304" t="str">
        <x:f>IF('作業計画'!$H80="設計",IF('作業計画'!O80="","",'作業計画'!O80),"")</x:f>
      </x:c>
      <x:c r="I80" s="304" t="str">
        <x:f>IF('作業計画'!$H80="設計",IF('作業計画'!P80="","",'作業計画'!P80),"")</x:f>
      </x:c>
      <x:c r="J80" s="304" t="str">
        <x:f>IF('作業計画'!$H80="設計",IF('作業計画'!Q80="","",'作業計画'!Q80),"")</x:f>
      </x:c>
      <x:c r="K80" s="304" t="str">
        <x:f>IF('作業計画'!$H80="設計",IF('作業計画'!R80="","",'作業計画'!R80),"")</x:f>
      </x:c>
      <x:c r="L80" s="305" t="str">
        <x:f>IF('作業計画'!$H80="設計",'作業計画'!U80,"")</x:f>
      </x:c>
      <x:c r="M80" s="289" t="str">
        <x:f>IF('作業計画'!$H80="設計",'作業計画'!V80,"")</x:f>
      </x:c>
      <x:c r="N80" s="304" t="str">
        <x:f>IF('作業計画'!$H80="開発",IF('作業計画'!O80="","",'作業計画'!O80),"")</x:f>
      </x:c>
      <x:c r="O80" s="304" t="str">
        <x:f>IF('作業計画'!$H80="開発",IF('作業計画'!P80="","",'作業計画'!P80),"")</x:f>
      </x:c>
      <x:c r="P80" s="304" t="str">
        <x:f>IF('作業計画'!$H80="開発",IF('作業計画'!Q80="","",'作業計画'!Q80),"")</x:f>
      </x:c>
      <x:c r="Q80" s="304" t="str">
        <x:f>IF('作業計画'!$H80="開発",IF('作業計画'!R80="","",'作業計画'!R80),"")</x:f>
      </x:c>
      <x:c r="R80" s="289" t="str">
        <x:f>IF('作業計画'!$H80="開発",'作業計画'!S80,"")</x:f>
      </x:c>
      <x:c r="S80" s="289" t="str">
        <x:f>IF('作業計画'!$H80="開発",'作業計画'!T80,"")</x:f>
      </x:c>
      <x:c r="T80" s="305" t="str">
        <x:f>IF('作業計画'!$H80="開発",'作業計画'!U80,"")</x:f>
      </x:c>
      <x:c r="U80" s="289" t="str">
        <x:f>IF('作業計画'!$H80="開発",'作業計画'!V80,"")</x:f>
      </x:c>
      <x:c r="V80" s="304" t="n">
        <x:f>IF('作業計画'!$H80="テスト",IF('作業計画'!O80="","",'作業計画'!O80),"")</x:f>
        <x:v>46385</x:v>
      </x:c>
      <x:c r="W80" s="304" t="n">
        <x:f>IF('作業計画'!$H80="テスト",IF('作業計画'!P80="","",'作業計画'!P80),"")</x:f>
        <x:v>46386</x:v>
      </x:c>
      <x:c r="X80" s="304" t="str">
        <x:f>IF('作業計画'!$H80="テスト",IF('作業計画'!Q80="","",'作業計画'!Q80),"")</x:f>
      </x:c>
      <x:c r="Y80" s="304" t="str">
        <x:f>IF('作業計画'!$H80="テスト",IF('作業計画'!R80="","",'作業計画'!R80),"")</x:f>
      </x:c>
      <x:c r="Z80" s="289" t="n">
        <x:f>IF('作業計画'!$H80="テスト",'作業計画'!S80,"")</x:f>
        <x:v>1</x:v>
      </x:c>
      <x:c r="AA80" s="289" t="n">
        <x:f>IF('作業計画'!$H80="テスト",'作業計画'!T80,"")</x:f>
        <x:v>0</x:v>
      </x:c>
      <x:c r="AB80" s="305" t="n">
        <x:f>IF('作業計画'!$H80="テスト",'作業計画'!U80,"")</x:f>
        <x:v>0</x:v>
      </x:c>
      <x:c r="AC80" s="289" t="str">
        <x:f>IF('作業計画'!$H80="テスト",'作業計画'!V80,"")</x:f>
        <x:v>予定前</x:v>
      </x:c>
      <x:c r="AD80" s="304" t="n">
        <x:f>IF('作業計画'!O80="","",'作業計画'!O80)</x:f>
        <x:v>46385</x:v>
      </x:c>
      <x:c r="AE80" s="304" t="n">
        <x:f>IF('作業計画'!P80="","",'作業計画'!P80)</x:f>
        <x:v>46386</x:v>
      </x:c>
      <x:c r="AF80" s="304" t="str">
        <x:f>IF('作業計画'!Q80="","",'作業計画'!Q80)</x:f>
      </x:c>
      <x:c r="AG80" s="304" t="str">
        <x:f>IF('作業計画'!R80="","",'作業計画'!R80)</x:f>
      </x:c>
      <x:c r="AH80" s="289" t="n">
        <x:f>'作業計画'!S80</x:f>
        <x:v>1</x:v>
      </x:c>
      <x:c r="AI80" s="289" t="n">
        <x:f>'作業計画'!T80</x:f>
        <x:v>0</x:v>
      </x:c>
      <x:c r="AJ80" s="305" t="n">
        <x:f>'作業計画'!U80</x:f>
        <x:v>0</x:v>
      </x:c>
      <x:c r="AK80" s="289" t="str">
        <x:f>'作業計画'!V80</x:f>
        <x:v>予定前</x:v>
      </x:c>
      <x:c r="AL80" s="289" t="str">
        <x:f>'作業計画'!W80</x:f>
        <x:v>46</x:v>
      </x:c>
      <x:c r="AM80" s="289" t="str">
        <x:f>'作業計画'!J80&amp;IF('作業計画'!K80="",""," / "&amp;'作業計画'!K80)&amp;IF('作業計画'!L80="",""," / "&amp;'作業計画'!L80)</x:f>
        <x:v>00049 / 00073</x:v>
      </x:c>
      <x:c r="AN80" s="250" t="str">
        <x:f>'作業計画'!Y80</x:f>
        <x:v>差分抽出・再実行時重複・対象期間の単体証跡</x:v>
      </x:c>
      <x:c r="AO80" s="250" t="str">
        <x:f>IF('作業計画'!Z80="","",'作業計画'!Z80)</x:f>
      </x:c>
      <x:c r="AP80" s="251" t="str">
        <x:f>'作業計画'!X80</x:f>
        <x:v>補足（共通処理の品質確認）</x:v>
      </x:c>
    </x:row>
    <x:row r="81" ht="54" customHeight="1">
      <x:c r="A81" s="458" t="str">
        <x:f>'作業計画'!A81</x:f>
        <x:v>00075</x:v>
      </x:c>
      <x:c r="B81" s="332" t="str">
        <x:f>'作業計画'!B81</x:f>
        <x:v>05.単体テスト</x:v>
      </x:c>
      <x:c r="C81" s="253" t="str">
        <x:f>'作業計画'!C81</x:f>
        <x:v>GoldWarehouse：作成Viewの単体テスト</x:v>
      </x:c>
      <x:c r="D81" s="253" t="str">
        <x:f>'作業計画'!D81</x:f>
        <x:v>テスト担当（要確定）</x:v>
      </x:c>
      <x:c r="E81" s="253" t="str">
        <x:f>'作業計画'!E81</x:f>
        <x:v>Fabric</x:v>
      </x:c>
      <x:c r="F81" s="291" t="str">
        <x:f>'作業計画'!F81</x:f>
        <x:v>2.中</x:v>
      </x:c>
      <x:c r="G81" s="291" t="str">
        <x:f>'作業計画'!G81</x:f>
        <x:v>00.未確認</x:v>
      </x:c>
      <x:c r="H81" s="306" t="str">
        <x:f>IF('作業計画'!$H81="設計",IF('作業計画'!O81="","",'作業計画'!O81),"")</x:f>
      </x:c>
      <x:c r="I81" s="306" t="str">
        <x:f>IF('作業計画'!$H81="設計",IF('作業計画'!P81="","",'作業計画'!P81),"")</x:f>
      </x:c>
      <x:c r="J81" s="306" t="str">
        <x:f>IF('作業計画'!$H81="設計",IF('作業計画'!Q81="","",'作業計画'!Q81),"")</x:f>
      </x:c>
      <x:c r="K81" s="306" t="str">
        <x:f>IF('作業計画'!$H81="設計",IF('作業計画'!R81="","",'作業計画'!R81),"")</x:f>
      </x:c>
      <x:c r="L81" s="307" t="str">
        <x:f>IF('作業計画'!$H81="設計",'作業計画'!U81,"")</x:f>
      </x:c>
      <x:c r="M81" s="291" t="str">
        <x:f>IF('作業計画'!$H81="設計",'作業計画'!V81,"")</x:f>
      </x:c>
      <x:c r="N81" s="306" t="str">
        <x:f>IF('作業計画'!$H81="開発",IF('作業計画'!O81="","",'作業計画'!O81),"")</x:f>
      </x:c>
      <x:c r="O81" s="306" t="str">
        <x:f>IF('作業計画'!$H81="開発",IF('作業計画'!P81="","",'作業計画'!P81),"")</x:f>
      </x:c>
      <x:c r="P81" s="306" t="str">
        <x:f>IF('作業計画'!$H81="開発",IF('作業計画'!Q81="","",'作業計画'!Q81),"")</x:f>
      </x:c>
      <x:c r="Q81" s="306" t="str">
        <x:f>IF('作業計画'!$H81="開発",IF('作業計画'!R81="","",'作業計画'!R81),"")</x:f>
      </x:c>
      <x:c r="R81" s="291" t="str">
        <x:f>IF('作業計画'!$H81="開発",'作業計画'!S81,"")</x:f>
      </x:c>
      <x:c r="S81" s="291" t="str">
        <x:f>IF('作業計画'!$H81="開発",'作業計画'!T81,"")</x:f>
      </x:c>
      <x:c r="T81" s="307" t="str">
        <x:f>IF('作業計画'!$H81="開発",'作業計画'!U81,"")</x:f>
      </x:c>
      <x:c r="U81" s="291" t="str">
        <x:f>IF('作業計画'!$H81="開発",'作業計画'!V81,"")</x:f>
      </x:c>
      <x:c r="V81" s="306" t="n">
        <x:f>IF('作業計画'!$H81="テスト",IF('作業計画'!O81="","",'作業計画'!O81),"")</x:f>
        <x:v>46384</x:v>
      </x:c>
      <x:c r="W81" s="306" t="n">
        <x:f>IF('作業計画'!$H81="テスト",IF('作業計画'!P81="","",'作業計画'!P81),"")</x:f>
        <x:v>46385</x:v>
      </x:c>
      <x:c r="X81" s="306" t="str">
        <x:f>IF('作業計画'!$H81="テスト",IF('作業計画'!Q81="","",'作業計画'!Q81),"")</x:f>
      </x:c>
      <x:c r="Y81" s="306" t="str">
        <x:f>IF('作業計画'!$H81="テスト",IF('作業計画'!R81="","",'作業計画'!R81),"")</x:f>
      </x:c>
      <x:c r="Z81" s="291" t="n">
        <x:f>IF('作業計画'!$H81="テスト",'作業計画'!S81,"")</x:f>
        <x:v>1</x:v>
      </x:c>
      <x:c r="AA81" s="291" t="n">
        <x:f>IF('作業計画'!$H81="テスト",'作業計画'!T81,"")</x:f>
        <x:v>0</x:v>
      </x:c>
      <x:c r="AB81" s="307" t="n">
        <x:f>IF('作業計画'!$H81="テスト",'作業計画'!U81,"")</x:f>
        <x:v>0</x:v>
      </x:c>
      <x:c r="AC81" s="291" t="str">
        <x:f>IF('作業計画'!$H81="テスト",'作業計画'!V81,"")</x:f>
        <x:v>予定前</x:v>
      </x:c>
      <x:c r="AD81" s="306" t="n">
        <x:f>IF('作業計画'!O81="","",'作業計画'!O81)</x:f>
        <x:v>46384</x:v>
      </x:c>
      <x:c r="AE81" s="306" t="n">
        <x:f>IF('作業計画'!P81="","",'作業計画'!P81)</x:f>
        <x:v>46385</x:v>
      </x:c>
      <x:c r="AF81" s="306" t="str">
        <x:f>IF('作業計画'!Q81="","",'作業計画'!Q81)</x:f>
      </x:c>
      <x:c r="AG81" s="306" t="str">
        <x:f>IF('作業計画'!R81="","",'作業計画'!R81)</x:f>
      </x:c>
      <x:c r="AH81" s="291" t="n">
        <x:f>'作業計画'!S81</x:f>
        <x:v>1</x:v>
      </x:c>
      <x:c r="AI81" s="291" t="n">
        <x:f>'作業計画'!T81</x:f>
        <x:v>0</x:v>
      </x:c>
      <x:c r="AJ81" s="307" t="n">
        <x:f>'作業計画'!U81</x:f>
        <x:v>0</x:v>
      </x:c>
      <x:c r="AK81" s="291" t="str">
        <x:f>'作業計画'!V81</x:f>
        <x:v>予定前</x:v>
      </x:c>
      <x:c r="AL81" s="291" t="str">
        <x:f>'作業計画'!W81</x:f>
        <x:v>52</x:v>
      </x:c>
      <x:c r="AM81" s="291" t="str">
        <x:f>'作業計画'!J81&amp;IF('作業計画'!K81="",""," / "&amp;'作業計画'!K81)&amp;IF('作業計画'!L81="",""," / "&amp;'作業計画'!L81)</x:f>
        <x:v>00050 / 00072 / 00069</x:v>
      </x:c>
      <x:c r="AN81" s="253" t="str">
        <x:f>'作業計画'!Y81</x:f>
        <x:v>Viewの件数・値・結合・変換結果の比較証跡</x:v>
      </x:c>
      <x:c r="AO81" s="253" t="str">
        <x:f>IF('作業計画'!Z81="","",'作業計画'!Z81)</x:f>
      </x:c>
      <x:c r="AP81" s="254" t="str">
        <x:f>'作業計画'!X81</x:f>
        <x:v>原資料展開</x:v>
      </x:c>
    </x:row>
    <x:row r="82" ht="54" customHeight="1">
      <x:c r="A82" s="457" t="str">
        <x:f>'作業計画'!A82</x:f>
        <x:v>00076</x:v>
      </x:c>
      <x:c r="B82" s="332" t="str">
        <x:f>'作業計画'!B82</x:f>
        <x:v>05.単体テスト</x:v>
      </x:c>
      <x:c r="C82" s="250" t="str">
        <x:f>'作業計画'!C82</x:f>
        <x:v>Product：加工結果・stg／tgt単体テスト</x:v>
      </x:c>
      <x:c r="D82" s="250" t="str">
        <x:f>'作業計画'!D82</x:f>
        <x:v>テスト担当（要確定）</x:v>
      </x:c>
      <x:c r="E82" s="250" t="str">
        <x:f>'作業計画'!E82</x:f>
        <x:v>Notebook／OutputLakehouse</x:v>
      </x:c>
      <x:c r="F82" s="289" t="str">
        <x:f>'作業計画'!F82</x:f>
        <x:v>2.中</x:v>
      </x:c>
      <x:c r="G82" s="289" t="str">
        <x:f>'作業計画'!G82</x:f>
        <x:v>00.未確認</x:v>
      </x:c>
      <x:c r="H82" s="304" t="str">
        <x:f>IF('作業計画'!$H82="設計",IF('作業計画'!O82="","",'作業計画'!O82),"")</x:f>
      </x:c>
      <x:c r="I82" s="304" t="str">
        <x:f>IF('作業計画'!$H82="設計",IF('作業計画'!P82="","",'作業計画'!P82),"")</x:f>
      </x:c>
      <x:c r="J82" s="304" t="str">
        <x:f>IF('作業計画'!$H82="設計",IF('作業計画'!Q82="","",'作業計画'!Q82),"")</x:f>
      </x:c>
      <x:c r="K82" s="304" t="str">
        <x:f>IF('作業計画'!$H82="設計",IF('作業計画'!R82="","",'作業計画'!R82),"")</x:f>
      </x:c>
      <x:c r="L82" s="305" t="str">
        <x:f>IF('作業計画'!$H82="設計",'作業計画'!U82,"")</x:f>
      </x:c>
      <x:c r="M82" s="289" t="str">
        <x:f>IF('作業計画'!$H82="設計",'作業計画'!V82,"")</x:f>
      </x:c>
      <x:c r="N82" s="304" t="str">
        <x:f>IF('作業計画'!$H82="開発",IF('作業計画'!O82="","",'作業計画'!O82),"")</x:f>
      </x:c>
      <x:c r="O82" s="304" t="str">
        <x:f>IF('作業計画'!$H82="開発",IF('作業計画'!P82="","",'作業計画'!P82),"")</x:f>
      </x:c>
      <x:c r="P82" s="304" t="str">
        <x:f>IF('作業計画'!$H82="開発",IF('作業計画'!Q82="","",'作業計画'!Q82),"")</x:f>
      </x:c>
      <x:c r="Q82" s="304" t="str">
        <x:f>IF('作業計画'!$H82="開発",IF('作業計画'!R82="","",'作業計画'!R82),"")</x:f>
      </x:c>
      <x:c r="R82" s="289" t="str">
        <x:f>IF('作業計画'!$H82="開発",'作業計画'!S82,"")</x:f>
      </x:c>
      <x:c r="S82" s="289" t="str">
        <x:f>IF('作業計画'!$H82="開発",'作業計画'!T82,"")</x:f>
      </x:c>
      <x:c r="T82" s="305" t="str">
        <x:f>IF('作業計画'!$H82="開発",'作業計画'!U82,"")</x:f>
      </x:c>
      <x:c r="U82" s="289" t="str">
        <x:f>IF('作業計画'!$H82="開発",'作業計画'!V82,"")</x:f>
      </x:c>
      <x:c r="V82" s="304" t="n">
        <x:f>IF('作業計画'!$H82="テスト",IF('作業計画'!O82="","",'作業計画'!O82),"")</x:f>
        <x:v>46393</x:v>
      </x:c>
      <x:c r="W82" s="304" t="n">
        <x:f>IF('作業計画'!$H82="テスト",IF('作業計画'!P82="","",'作業計画'!P82),"")</x:f>
        <x:v>46394</x:v>
      </x:c>
      <x:c r="X82" s="304" t="str">
        <x:f>IF('作業計画'!$H82="テスト",IF('作業計画'!Q82="","",'作業計画'!Q82),"")</x:f>
      </x:c>
      <x:c r="Y82" s="304" t="str">
        <x:f>IF('作業計画'!$H82="テスト",IF('作業計画'!R82="","",'作業計画'!R82),"")</x:f>
      </x:c>
      <x:c r="Z82" s="289" t="n">
        <x:f>IF('作業計画'!$H82="テスト",'作業計画'!S82,"")</x:f>
        <x:v>1</x:v>
      </x:c>
      <x:c r="AA82" s="289" t="n">
        <x:f>IF('作業計画'!$H82="テスト",'作業計画'!T82,"")</x:f>
        <x:v>0</x:v>
      </x:c>
      <x:c r="AB82" s="305" t="n">
        <x:f>IF('作業計画'!$H82="テスト",'作業計画'!U82,"")</x:f>
        <x:v>0</x:v>
      </x:c>
      <x:c r="AC82" s="289" t="str">
        <x:f>IF('作業計画'!$H82="テスト",'作業計画'!V82,"")</x:f>
        <x:v>予定前</x:v>
      </x:c>
      <x:c r="AD82" s="304" t="n">
        <x:f>IF('作業計画'!O82="","",'作業計画'!O82)</x:f>
        <x:v>46393</x:v>
      </x:c>
      <x:c r="AE82" s="304" t="n">
        <x:f>IF('作業計画'!P82="","",'作業計画'!P82)</x:f>
        <x:v>46394</x:v>
      </x:c>
      <x:c r="AF82" s="304" t="str">
        <x:f>IF('作業計画'!Q82="","",'作業計画'!Q82)</x:f>
      </x:c>
      <x:c r="AG82" s="304" t="str">
        <x:f>IF('作業計画'!R82="","",'作業計画'!R82)</x:f>
      </x:c>
      <x:c r="AH82" s="289" t="n">
        <x:f>'作業計画'!S82</x:f>
        <x:v>1</x:v>
      </x:c>
      <x:c r="AI82" s="289" t="n">
        <x:f>'作業計画'!T82</x:f>
        <x:v>0</x:v>
      </x:c>
      <x:c r="AJ82" s="305" t="n">
        <x:f>'作業計画'!U82</x:f>
        <x:v>0</x:v>
      </x:c>
      <x:c r="AK82" s="289" t="str">
        <x:f>'作業計画'!V82</x:f>
        <x:v>予定前</x:v>
      </x:c>
      <x:c r="AL82" s="289" t="str">
        <x:f>'作業計画'!W82</x:f>
        <x:v>53</x:v>
      </x:c>
      <x:c r="AM82" s="289" t="str">
        <x:f>'作業計画'!J82&amp;IF('作業計画'!K82="",""," / "&amp;'作業計画'!K82)&amp;IF('作業計画'!L82="",""," / "&amp;'作業計画'!L82)</x:f>
        <x:v>00056 / 00061 / 00075</x:v>
      </x:c>
      <x:c r="AN82" s="250" t="str">
        <x:f>'作業計画'!Y82</x:f>
        <x:v>Productの加工結果・stg・tgtの件数／値／型のエビデンス</x:v>
      </x:c>
      <x:c r="AO82" s="250" t="str">
        <x:f>IF('作業計画'!Z82="","",'作業計画'!Z82)</x:f>
      </x:c>
      <x:c r="AP82" s="251" t="str">
        <x:f>'作業計画'!X82</x:f>
        <x:v>原資料展開</x:v>
      </x:c>
    </x:row>
    <x:row r="83" ht="54" customHeight="1">
      <x:c r="A83" s="458" t="str">
        <x:f>'作業計画'!A83</x:f>
        <x:v>00077</x:v>
      </x:c>
      <x:c r="B83" s="332" t="str">
        <x:f>'作業計画'!B83</x:f>
        <x:v>05.単体テスト</x:v>
      </x:c>
      <x:c r="C83" s="253" t="str">
        <x:f>'作業計画'!C83</x:f>
        <x:v>Contact：加工結果・stg／tgt単体テスト</x:v>
      </x:c>
      <x:c r="D83" s="253" t="str">
        <x:f>'作業計画'!D83</x:f>
        <x:v>テスト担当（要確定）</x:v>
      </x:c>
      <x:c r="E83" s="253" t="str">
        <x:f>'作業計画'!E83</x:f>
        <x:v>Notebook／OutputLakehouse</x:v>
      </x:c>
      <x:c r="F83" s="291" t="str">
        <x:f>'作業計画'!F83</x:f>
        <x:v>2.中</x:v>
      </x:c>
      <x:c r="G83" s="291" t="str">
        <x:f>'作業計画'!G83</x:f>
        <x:v>00.未確認</x:v>
      </x:c>
      <x:c r="H83" s="306" t="str">
        <x:f>IF('作業計画'!$H83="設計",IF('作業計画'!O83="","",'作業計画'!O83),"")</x:f>
      </x:c>
      <x:c r="I83" s="306" t="str">
        <x:f>IF('作業計画'!$H83="設計",IF('作業計画'!P83="","",'作業計画'!P83),"")</x:f>
      </x:c>
      <x:c r="J83" s="306" t="str">
        <x:f>IF('作業計画'!$H83="設計",IF('作業計画'!Q83="","",'作業計画'!Q83),"")</x:f>
      </x:c>
      <x:c r="K83" s="306" t="str">
        <x:f>IF('作業計画'!$H83="設計",IF('作業計画'!R83="","",'作業計画'!R83),"")</x:f>
      </x:c>
      <x:c r="L83" s="307" t="str">
        <x:f>IF('作業計画'!$H83="設計",'作業計画'!U83,"")</x:f>
      </x:c>
      <x:c r="M83" s="291" t="str">
        <x:f>IF('作業計画'!$H83="設計",'作業計画'!V83,"")</x:f>
      </x:c>
      <x:c r="N83" s="306" t="str">
        <x:f>IF('作業計画'!$H83="開発",IF('作業計画'!O83="","",'作業計画'!O83),"")</x:f>
      </x:c>
      <x:c r="O83" s="306" t="str">
        <x:f>IF('作業計画'!$H83="開発",IF('作業計画'!P83="","",'作業計画'!P83),"")</x:f>
      </x:c>
      <x:c r="P83" s="306" t="str">
        <x:f>IF('作業計画'!$H83="開発",IF('作業計画'!Q83="","",'作業計画'!Q83),"")</x:f>
      </x:c>
      <x:c r="Q83" s="306" t="str">
        <x:f>IF('作業計画'!$H83="開発",IF('作業計画'!R83="","",'作業計画'!R83),"")</x:f>
      </x:c>
      <x:c r="R83" s="291" t="str">
        <x:f>IF('作業計画'!$H83="開発",'作業計画'!S83,"")</x:f>
      </x:c>
      <x:c r="S83" s="291" t="str">
        <x:f>IF('作業計画'!$H83="開発",'作業計画'!T83,"")</x:f>
      </x:c>
      <x:c r="T83" s="307" t="str">
        <x:f>IF('作業計画'!$H83="開発",'作業計画'!U83,"")</x:f>
      </x:c>
      <x:c r="U83" s="291" t="str">
        <x:f>IF('作業計画'!$H83="開発",'作業計画'!V83,"")</x:f>
      </x:c>
      <x:c r="V83" s="306" t="n">
        <x:f>IF('作業計画'!$H83="テスト",IF('作業計画'!O83="","",'作業計画'!O83),"")</x:f>
        <x:v>46395</x:v>
      </x:c>
      <x:c r="W83" s="306" t="n">
        <x:f>IF('作業計画'!$H83="テスト",IF('作業計画'!P83="","",'作業計画'!P83),"")</x:f>
        <x:v>46398</x:v>
      </x:c>
      <x:c r="X83" s="306" t="str">
        <x:f>IF('作業計画'!$H83="テスト",IF('作業計画'!Q83="","",'作業計画'!Q83),"")</x:f>
      </x:c>
      <x:c r="Y83" s="306" t="str">
        <x:f>IF('作業計画'!$H83="テスト",IF('作業計画'!R83="","",'作業計画'!R83),"")</x:f>
      </x:c>
      <x:c r="Z83" s="291" t="n">
        <x:f>IF('作業計画'!$H83="テスト",'作業計画'!S83,"")</x:f>
        <x:v>1</x:v>
      </x:c>
      <x:c r="AA83" s="291" t="n">
        <x:f>IF('作業計画'!$H83="テスト",'作業計画'!T83,"")</x:f>
        <x:v>0</x:v>
      </x:c>
      <x:c r="AB83" s="307" t="n">
        <x:f>IF('作業計画'!$H83="テスト",'作業計画'!U83,"")</x:f>
        <x:v>0</x:v>
      </x:c>
      <x:c r="AC83" s="291" t="str">
        <x:f>IF('作業計画'!$H83="テスト",'作業計画'!V83,"")</x:f>
        <x:v>予定前</x:v>
      </x:c>
      <x:c r="AD83" s="306" t="n">
        <x:f>IF('作業計画'!O83="","",'作業計画'!O83)</x:f>
        <x:v>46395</x:v>
      </x:c>
      <x:c r="AE83" s="306" t="n">
        <x:f>IF('作業計画'!P83="","",'作業計画'!P83)</x:f>
        <x:v>46398</x:v>
      </x:c>
      <x:c r="AF83" s="306" t="str">
        <x:f>IF('作業計画'!Q83="","",'作業計画'!Q83)</x:f>
      </x:c>
      <x:c r="AG83" s="306" t="str">
        <x:f>IF('作業計画'!R83="","",'作業計画'!R83)</x:f>
      </x:c>
      <x:c r="AH83" s="291" t="n">
        <x:f>'作業計画'!S83</x:f>
        <x:v>1</x:v>
      </x:c>
      <x:c r="AI83" s="291" t="n">
        <x:f>'作業計画'!T83</x:f>
        <x:v>0</x:v>
      </x:c>
      <x:c r="AJ83" s="307" t="n">
        <x:f>'作業計画'!U83</x:f>
        <x:v>0</x:v>
      </x:c>
      <x:c r="AK83" s="291" t="str">
        <x:f>'作業計画'!V83</x:f>
        <x:v>予定前</x:v>
      </x:c>
      <x:c r="AL83" s="291" t="str">
        <x:f>'作業計画'!W83</x:f>
        <x:v>53</x:v>
      </x:c>
      <x:c r="AM83" s="291" t="str">
        <x:f>'作業計画'!J83&amp;IF('作業計画'!K83="",""," / "&amp;'作業計画'!K83)&amp;IF('作業計画'!L83="",""," / "&amp;'作業計画'!L83)</x:f>
        <x:v>00057 / 00062 / 00076</x:v>
      </x:c>
      <x:c r="AN83" s="253" t="str">
        <x:f>'作業計画'!Y83</x:f>
        <x:v>Contactの加工結果・stg・tgtの件数／値／型のエビデンス</x:v>
      </x:c>
      <x:c r="AO83" s="253" t="str">
        <x:f>IF('作業計画'!Z83="","",'作業計画'!Z83)</x:f>
      </x:c>
      <x:c r="AP83" s="254" t="str">
        <x:f>'作業計画'!X83</x:f>
        <x:v>原資料展開</x:v>
      </x:c>
    </x:row>
    <x:row r="84" ht="54" customHeight="1">
      <x:c r="A84" s="457" t="str">
        <x:f>'作業計画'!A84</x:f>
        <x:v>00078</x:v>
      </x:c>
      <x:c r="B84" s="332" t="str">
        <x:f>'作業計画'!B84</x:f>
        <x:v>05.単体テスト</x:v>
      </x:c>
      <x:c r="C84" s="250" t="str">
        <x:f>'作業計画'!C84</x:f>
        <x:v>Account：加工結果・stg／tgt単体テスト</x:v>
      </x:c>
      <x:c r="D84" s="250" t="str">
        <x:f>'作業計画'!D84</x:f>
        <x:v>テスト担当（要確定）</x:v>
      </x:c>
      <x:c r="E84" s="250" t="str">
        <x:f>'作業計画'!E84</x:f>
        <x:v>Notebook／OutputLakehouse</x:v>
      </x:c>
      <x:c r="F84" s="289" t="str">
        <x:f>'作業計画'!F84</x:f>
        <x:v>2.中</x:v>
      </x:c>
      <x:c r="G84" s="289" t="str">
        <x:f>'作業計画'!G84</x:f>
        <x:v>00.未確認</x:v>
      </x:c>
      <x:c r="H84" s="304" t="str">
        <x:f>IF('作業計画'!$H84="設計",IF('作業計画'!O84="","",'作業計画'!O84),"")</x:f>
      </x:c>
      <x:c r="I84" s="304" t="str">
        <x:f>IF('作業計画'!$H84="設計",IF('作業計画'!P84="","",'作業計画'!P84),"")</x:f>
      </x:c>
      <x:c r="J84" s="304" t="str">
        <x:f>IF('作業計画'!$H84="設計",IF('作業計画'!Q84="","",'作業計画'!Q84),"")</x:f>
      </x:c>
      <x:c r="K84" s="304" t="str">
        <x:f>IF('作業計画'!$H84="設計",IF('作業計画'!R84="","",'作業計画'!R84),"")</x:f>
      </x:c>
      <x:c r="L84" s="305" t="str">
        <x:f>IF('作業計画'!$H84="設計",'作業計画'!U84,"")</x:f>
      </x:c>
      <x:c r="M84" s="289" t="str">
        <x:f>IF('作業計画'!$H84="設計",'作業計画'!V84,"")</x:f>
      </x:c>
      <x:c r="N84" s="304" t="str">
        <x:f>IF('作業計画'!$H84="開発",IF('作業計画'!O84="","",'作業計画'!O84),"")</x:f>
      </x:c>
      <x:c r="O84" s="304" t="str">
        <x:f>IF('作業計画'!$H84="開発",IF('作業計画'!P84="","",'作業計画'!P84),"")</x:f>
      </x:c>
      <x:c r="P84" s="304" t="str">
        <x:f>IF('作業計画'!$H84="開発",IF('作業計画'!Q84="","",'作業計画'!Q84),"")</x:f>
      </x:c>
      <x:c r="Q84" s="304" t="str">
        <x:f>IF('作業計画'!$H84="開発",IF('作業計画'!R84="","",'作業計画'!R84),"")</x:f>
      </x:c>
      <x:c r="R84" s="289" t="str">
        <x:f>IF('作業計画'!$H84="開発",'作業計画'!S84,"")</x:f>
      </x:c>
      <x:c r="S84" s="289" t="str">
        <x:f>IF('作業計画'!$H84="開発",'作業計画'!T84,"")</x:f>
      </x:c>
      <x:c r="T84" s="305" t="str">
        <x:f>IF('作業計画'!$H84="開発",'作業計画'!U84,"")</x:f>
      </x:c>
      <x:c r="U84" s="289" t="str">
        <x:f>IF('作業計画'!$H84="開発",'作業計画'!V84,"")</x:f>
      </x:c>
      <x:c r="V84" s="304" t="n">
        <x:f>IF('作業計画'!$H84="テスト",IF('作業計画'!O84="","",'作業計画'!O84),"")</x:f>
        <x:v>46399</x:v>
      </x:c>
      <x:c r="W84" s="304" t="n">
        <x:f>IF('作業計画'!$H84="テスト",IF('作業計画'!P84="","",'作業計画'!P84),"")</x:f>
        <x:v>46400</x:v>
      </x:c>
      <x:c r="X84" s="304" t="str">
        <x:f>IF('作業計画'!$H84="テスト",IF('作業計画'!Q84="","",'作業計画'!Q84),"")</x:f>
      </x:c>
      <x:c r="Y84" s="304" t="str">
        <x:f>IF('作業計画'!$H84="テスト",IF('作業計画'!R84="","",'作業計画'!R84),"")</x:f>
      </x:c>
      <x:c r="Z84" s="289" t="n">
        <x:f>IF('作業計画'!$H84="テスト",'作業計画'!S84,"")</x:f>
        <x:v>1</x:v>
      </x:c>
      <x:c r="AA84" s="289" t="n">
        <x:f>IF('作業計画'!$H84="テスト",'作業計画'!T84,"")</x:f>
        <x:v>0</x:v>
      </x:c>
      <x:c r="AB84" s="305" t="n">
        <x:f>IF('作業計画'!$H84="テスト",'作業計画'!U84,"")</x:f>
        <x:v>0</x:v>
      </x:c>
      <x:c r="AC84" s="289" t="str">
        <x:f>IF('作業計画'!$H84="テスト",'作業計画'!V84,"")</x:f>
        <x:v>予定前</x:v>
      </x:c>
      <x:c r="AD84" s="304" t="n">
        <x:f>IF('作業計画'!O84="","",'作業計画'!O84)</x:f>
        <x:v>46399</x:v>
      </x:c>
      <x:c r="AE84" s="304" t="n">
        <x:f>IF('作業計画'!P84="","",'作業計画'!P84)</x:f>
        <x:v>46400</x:v>
      </x:c>
      <x:c r="AF84" s="304" t="str">
        <x:f>IF('作業計画'!Q84="","",'作業計画'!Q84)</x:f>
      </x:c>
      <x:c r="AG84" s="304" t="str">
        <x:f>IF('作業計画'!R84="","",'作業計画'!R84)</x:f>
      </x:c>
      <x:c r="AH84" s="289" t="n">
        <x:f>'作業計画'!S84</x:f>
        <x:v>1</x:v>
      </x:c>
      <x:c r="AI84" s="289" t="n">
        <x:f>'作業計画'!T84</x:f>
        <x:v>0</x:v>
      </x:c>
      <x:c r="AJ84" s="305" t="n">
        <x:f>'作業計画'!U84</x:f>
        <x:v>0</x:v>
      </x:c>
      <x:c r="AK84" s="289" t="str">
        <x:f>'作業計画'!V84</x:f>
        <x:v>予定前</x:v>
      </x:c>
      <x:c r="AL84" s="289" t="str">
        <x:f>'作業計画'!W84</x:f>
        <x:v>53</x:v>
      </x:c>
      <x:c r="AM84" s="289" t="str">
        <x:f>'作業計画'!J84&amp;IF('作業計画'!K84="",""," / "&amp;'作業計画'!K84)&amp;IF('作業計画'!L84="",""," / "&amp;'作業計画'!L84)</x:f>
        <x:v>00058 / 00063 / 00077</x:v>
      </x:c>
      <x:c r="AN84" s="250" t="str">
        <x:f>'作業計画'!Y84</x:f>
        <x:v>Accountの加工結果・stg・tgtの件数／値／型のエビデンス</x:v>
      </x:c>
      <x:c r="AO84" s="250" t="str">
        <x:f>IF('作業計画'!Z84="","",'作業計画'!Z84)</x:f>
      </x:c>
      <x:c r="AP84" s="251" t="str">
        <x:f>'作業計画'!X84</x:f>
        <x:v>原資料展開</x:v>
      </x:c>
    </x:row>
    <x:row r="85" ht="54" customHeight="1">
      <x:c r="A85" s="458" t="str">
        <x:f>'作業計画'!A85</x:f>
        <x:v>00079</x:v>
      </x:c>
      <x:c r="B85" s="332" t="str">
        <x:f>'作業計画'!B85</x:f>
        <x:v>05.単体テスト</x:v>
      </x:c>
      <x:c r="C85" s="253" t="str">
        <x:f>'作業計画'!C85</x:f>
        <x:v>AccountContact：加工結果・stg／tgt単体テスト</x:v>
      </x:c>
      <x:c r="D85" s="253" t="str">
        <x:f>'作業計画'!D85</x:f>
        <x:v>テスト担当（要確定）</x:v>
      </x:c>
      <x:c r="E85" s="253" t="str">
        <x:f>'作業計画'!E85</x:f>
        <x:v>Notebook／OutputLakehouse</x:v>
      </x:c>
      <x:c r="F85" s="291" t="str">
        <x:f>'作業計画'!F85</x:f>
        <x:v>2.中</x:v>
      </x:c>
      <x:c r="G85" s="291" t="str">
        <x:f>'作業計画'!G85</x:f>
        <x:v>00.未確認</x:v>
      </x:c>
      <x:c r="H85" s="306" t="str">
        <x:f>IF('作業計画'!$H85="設計",IF('作業計画'!O85="","",'作業計画'!O85),"")</x:f>
      </x:c>
      <x:c r="I85" s="306" t="str">
        <x:f>IF('作業計画'!$H85="設計",IF('作業計画'!P85="","",'作業計画'!P85),"")</x:f>
      </x:c>
      <x:c r="J85" s="306" t="str">
        <x:f>IF('作業計画'!$H85="設計",IF('作業計画'!Q85="","",'作業計画'!Q85),"")</x:f>
      </x:c>
      <x:c r="K85" s="306" t="str">
        <x:f>IF('作業計画'!$H85="設計",IF('作業計画'!R85="","",'作業計画'!R85),"")</x:f>
      </x:c>
      <x:c r="L85" s="307" t="str">
        <x:f>IF('作業計画'!$H85="設計",'作業計画'!U85,"")</x:f>
      </x:c>
      <x:c r="M85" s="291" t="str">
        <x:f>IF('作業計画'!$H85="設計",'作業計画'!V85,"")</x:f>
      </x:c>
      <x:c r="N85" s="306" t="str">
        <x:f>IF('作業計画'!$H85="開発",IF('作業計画'!O85="","",'作業計画'!O85),"")</x:f>
      </x:c>
      <x:c r="O85" s="306" t="str">
        <x:f>IF('作業計画'!$H85="開発",IF('作業計画'!P85="","",'作業計画'!P85),"")</x:f>
      </x:c>
      <x:c r="P85" s="306" t="str">
        <x:f>IF('作業計画'!$H85="開発",IF('作業計画'!Q85="","",'作業計画'!Q85),"")</x:f>
      </x:c>
      <x:c r="Q85" s="306" t="str">
        <x:f>IF('作業計画'!$H85="開発",IF('作業計画'!R85="","",'作業計画'!R85),"")</x:f>
      </x:c>
      <x:c r="R85" s="291" t="str">
        <x:f>IF('作業計画'!$H85="開発",'作業計画'!S85,"")</x:f>
      </x:c>
      <x:c r="S85" s="291" t="str">
        <x:f>IF('作業計画'!$H85="開発",'作業計画'!T85,"")</x:f>
      </x:c>
      <x:c r="T85" s="307" t="str">
        <x:f>IF('作業計画'!$H85="開発",'作業計画'!U85,"")</x:f>
      </x:c>
      <x:c r="U85" s="291" t="str">
        <x:f>IF('作業計画'!$H85="開発",'作業計画'!V85,"")</x:f>
      </x:c>
      <x:c r="V85" s="306" t="n">
        <x:f>IF('作業計画'!$H85="テスト",IF('作業計画'!O85="","",'作業計画'!O85),"")</x:f>
        <x:v>46401</x:v>
      </x:c>
      <x:c r="W85" s="306" t="n">
        <x:f>IF('作業計画'!$H85="テスト",IF('作業計画'!P85="","",'作業計画'!P85),"")</x:f>
        <x:v>46402</x:v>
      </x:c>
      <x:c r="X85" s="306" t="str">
        <x:f>IF('作業計画'!$H85="テスト",IF('作業計画'!Q85="","",'作業計画'!Q85),"")</x:f>
      </x:c>
      <x:c r="Y85" s="306" t="str">
        <x:f>IF('作業計画'!$H85="テスト",IF('作業計画'!R85="","",'作業計画'!R85),"")</x:f>
      </x:c>
      <x:c r="Z85" s="291" t="n">
        <x:f>IF('作業計画'!$H85="テスト",'作業計画'!S85,"")</x:f>
        <x:v>1</x:v>
      </x:c>
      <x:c r="AA85" s="291" t="n">
        <x:f>IF('作業計画'!$H85="テスト",'作業計画'!T85,"")</x:f>
        <x:v>0</x:v>
      </x:c>
      <x:c r="AB85" s="307" t="n">
        <x:f>IF('作業計画'!$H85="テスト",'作業計画'!U85,"")</x:f>
        <x:v>0</x:v>
      </x:c>
      <x:c r="AC85" s="291" t="str">
        <x:f>IF('作業計画'!$H85="テスト",'作業計画'!V85,"")</x:f>
        <x:v>予定前</x:v>
      </x:c>
      <x:c r="AD85" s="306" t="n">
        <x:f>IF('作業計画'!O85="","",'作業計画'!O85)</x:f>
        <x:v>46401</x:v>
      </x:c>
      <x:c r="AE85" s="306" t="n">
        <x:f>IF('作業計画'!P85="","",'作業計画'!P85)</x:f>
        <x:v>46402</x:v>
      </x:c>
      <x:c r="AF85" s="306" t="str">
        <x:f>IF('作業計画'!Q85="","",'作業計画'!Q85)</x:f>
      </x:c>
      <x:c r="AG85" s="306" t="str">
        <x:f>IF('作業計画'!R85="","",'作業計画'!R85)</x:f>
      </x:c>
      <x:c r="AH85" s="291" t="n">
        <x:f>'作業計画'!S85</x:f>
        <x:v>1</x:v>
      </x:c>
      <x:c r="AI85" s="291" t="n">
        <x:f>'作業計画'!T85</x:f>
        <x:v>0</x:v>
      </x:c>
      <x:c r="AJ85" s="307" t="n">
        <x:f>'作業計画'!U85</x:f>
        <x:v>0</x:v>
      </x:c>
      <x:c r="AK85" s="291" t="str">
        <x:f>'作業計画'!V85</x:f>
        <x:v>予定前</x:v>
      </x:c>
      <x:c r="AL85" s="291" t="str">
        <x:f>'作業計画'!W85</x:f>
        <x:v>53</x:v>
      </x:c>
      <x:c r="AM85" s="291" t="str">
        <x:f>'作業計画'!J85&amp;IF('作業計画'!K85="",""," / "&amp;'作業計画'!K85)&amp;IF('作業計画'!L85="",""," / "&amp;'作業計画'!L85)</x:f>
        <x:v>00059 / 00064 / 00078</x:v>
      </x:c>
      <x:c r="AN85" s="253" t="str">
        <x:f>'作業計画'!Y85</x:f>
        <x:v>AccountContactの加工結果・stg・tgtの件数／値／型のエビデンス</x:v>
      </x:c>
      <x:c r="AO85" s="253" t="str">
        <x:f>IF('作業計画'!Z85="","",'作業計画'!Z85)</x:f>
      </x:c>
      <x:c r="AP85" s="254" t="str">
        <x:f>'作業計画'!X85</x:f>
        <x:v>原資料展開</x:v>
      </x:c>
    </x:row>
    <x:row r="86" ht="54" customHeight="1">
      <x:c r="A86" s="457" t="str">
        <x:f>'作業計画'!A86</x:f>
        <x:v>00080</x:v>
      </x:c>
      <x:c r="B86" s="332" t="str">
        <x:f>'作業計画'!B86</x:f>
        <x:v>05.単体テスト</x:v>
      </x:c>
      <x:c r="C86" s="250" t="str">
        <x:f>'作業計画'!C86</x:f>
        <x:v>SalesRepHospital：加工結果・stg／tgt単体テスト</x:v>
      </x:c>
      <x:c r="D86" s="250" t="str">
        <x:f>'作業計画'!D86</x:f>
        <x:v>テスト担当（要確定）</x:v>
      </x:c>
      <x:c r="E86" s="250" t="str">
        <x:f>'作業計画'!E86</x:f>
        <x:v>Notebook／OutputLakehouse</x:v>
      </x:c>
      <x:c r="F86" s="289" t="str">
        <x:f>'作業計画'!F86</x:f>
        <x:v>2.中</x:v>
      </x:c>
      <x:c r="G86" s="289" t="str">
        <x:f>'作業計画'!G86</x:f>
        <x:v>00.未確認</x:v>
      </x:c>
      <x:c r="H86" s="304" t="str">
        <x:f>IF('作業計画'!$H86="設計",IF('作業計画'!O86="","",'作業計画'!O86),"")</x:f>
      </x:c>
      <x:c r="I86" s="304" t="str">
        <x:f>IF('作業計画'!$H86="設計",IF('作業計画'!P86="","",'作業計画'!P86),"")</x:f>
      </x:c>
      <x:c r="J86" s="304" t="str">
        <x:f>IF('作業計画'!$H86="設計",IF('作業計画'!Q86="","",'作業計画'!Q86),"")</x:f>
      </x:c>
      <x:c r="K86" s="304" t="str">
        <x:f>IF('作業計画'!$H86="設計",IF('作業計画'!R86="","",'作業計画'!R86),"")</x:f>
      </x:c>
      <x:c r="L86" s="305" t="str">
        <x:f>IF('作業計画'!$H86="設計",'作業計画'!U86,"")</x:f>
      </x:c>
      <x:c r="M86" s="289" t="str">
        <x:f>IF('作業計画'!$H86="設計",'作業計画'!V86,"")</x:f>
      </x:c>
      <x:c r="N86" s="304" t="str">
        <x:f>IF('作業計画'!$H86="開発",IF('作業計画'!O86="","",'作業計画'!O86),"")</x:f>
      </x:c>
      <x:c r="O86" s="304" t="str">
        <x:f>IF('作業計画'!$H86="開発",IF('作業計画'!P86="","",'作業計画'!P86),"")</x:f>
      </x:c>
      <x:c r="P86" s="304" t="str">
        <x:f>IF('作業計画'!$H86="開発",IF('作業計画'!Q86="","",'作業計画'!Q86),"")</x:f>
      </x:c>
      <x:c r="Q86" s="304" t="str">
        <x:f>IF('作業計画'!$H86="開発",IF('作業計画'!R86="","",'作業計画'!R86),"")</x:f>
      </x:c>
      <x:c r="R86" s="289" t="str">
        <x:f>IF('作業計画'!$H86="開発",'作業計画'!S86,"")</x:f>
      </x:c>
      <x:c r="S86" s="289" t="str">
        <x:f>IF('作業計画'!$H86="開発",'作業計画'!T86,"")</x:f>
      </x:c>
      <x:c r="T86" s="305" t="str">
        <x:f>IF('作業計画'!$H86="開発",'作業計画'!U86,"")</x:f>
      </x:c>
      <x:c r="U86" s="289" t="str">
        <x:f>IF('作業計画'!$H86="開発",'作業計画'!V86,"")</x:f>
      </x:c>
      <x:c r="V86" s="304" t="n">
        <x:f>IF('作業計画'!$H86="テスト",IF('作業計画'!O86="","",'作業計画'!O86),"")</x:f>
        <x:v>46405</x:v>
      </x:c>
      <x:c r="W86" s="304" t="n">
        <x:f>IF('作業計画'!$H86="テスト",IF('作業計画'!P86="","",'作業計画'!P86),"")</x:f>
        <x:v>46406</x:v>
      </x:c>
      <x:c r="X86" s="304" t="str">
        <x:f>IF('作業計画'!$H86="テスト",IF('作業計画'!Q86="","",'作業計画'!Q86),"")</x:f>
      </x:c>
      <x:c r="Y86" s="304" t="str">
        <x:f>IF('作業計画'!$H86="テスト",IF('作業計画'!R86="","",'作業計画'!R86),"")</x:f>
      </x:c>
      <x:c r="Z86" s="289" t="n">
        <x:f>IF('作業計画'!$H86="テスト",'作業計画'!S86,"")</x:f>
        <x:v>1</x:v>
      </x:c>
      <x:c r="AA86" s="289" t="n">
        <x:f>IF('作業計画'!$H86="テスト",'作業計画'!T86,"")</x:f>
        <x:v>0</x:v>
      </x:c>
      <x:c r="AB86" s="305" t="n">
        <x:f>IF('作業計画'!$H86="テスト",'作業計画'!U86,"")</x:f>
        <x:v>0</x:v>
      </x:c>
      <x:c r="AC86" s="289" t="str">
        <x:f>IF('作業計画'!$H86="テスト",'作業計画'!V86,"")</x:f>
        <x:v>予定前</x:v>
      </x:c>
      <x:c r="AD86" s="304" t="n">
        <x:f>IF('作業計画'!O86="","",'作業計画'!O86)</x:f>
        <x:v>46405</x:v>
      </x:c>
      <x:c r="AE86" s="304" t="n">
        <x:f>IF('作業計画'!P86="","",'作業計画'!P86)</x:f>
        <x:v>46406</x:v>
      </x:c>
      <x:c r="AF86" s="304" t="str">
        <x:f>IF('作業計画'!Q86="","",'作業計画'!Q86)</x:f>
      </x:c>
      <x:c r="AG86" s="304" t="str">
        <x:f>IF('作業計画'!R86="","",'作業計画'!R86)</x:f>
      </x:c>
      <x:c r="AH86" s="289" t="n">
        <x:f>'作業計画'!S86</x:f>
        <x:v>1</x:v>
      </x:c>
      <x:c r="AI86" s="289" t="n">
        <x:f>'作業計画'!T86</x:f>
        <x:v>0</x:v>
      </x:c>
      <x:c r="AJ86" s="305" t="n">
        <x:f>'作業計画'!U86</x:f>
        <x:v>0</x:v>
      </x:c>
      <x:c r="AK86" s="289" t="str">
        <x:f>'作業計画'!V86</x:f>
        <x:v>予定前</x:v>
      </x:c>
      <x:c r="AL86" s="289" t="str">
        <x:f>'作業計画'!W86</x:f>
        <x:v>53</x:v>
      </x:c>
      <x:c r="AM86" s="289" t="str">
        <x:f>'作業計画'!J86&amp;IF('作業計画'!K86="",""," / "&amp;'作業計画'!K86)&amp;IF('作業計画'!L86="",""," / "&amp;'作業計画'!L86)</x:f>
        <x:v>00060 / 00065 / 00079</x:v>
      </x:c>
      <x:c r="AN86" s="250" t="str">
        <x:f>'作業計画'!Y86</x:f>
        <x:v>SalesRepHospitalの加工結果・stg・tgtの件数／値／型のエビデンス</x:v>
      </x:c>
      <x:c r="AO86" s="250" t="str">
        <x:f>IF('作業計画'!Z86="","",'作業計画'!Z86)</x:f>
      </x:c>
      <x:c r="AP86" s="251" t="str">
        <x:f>'作業計画'!X86</x:f>
        <x:v>原資料展開</x:v>
      </x:c>
    </x:row>
    <x:row r="87" ht="54" customHeight="1">
      <x:c r="A87" s="458" t="str">
        <x:f>'作業計画'!A87</x:f>
        <x:v>00081</x:v>
      </x:c>
      <x:c r="B87" s="332" t="str">
        <x:f>'作業計画'!B87</x:f>
        <x:v>05.単体テスト</x:v>
      </x:c>
      <x:c r="C87" s="253" t="str">
        <x:f>'作業計画'!C87</x:f>
        <x:v>Watermark：更新・失敗時整合性の単体テスト</x:v>
      </x:c>
      <x:c r="D87" s="253" t="str">
        <x:f>'作業計画'!D87</x:f>
        <x:v>テスト担当（要確定）</x:v>
      </x:c>
      <x:c r="E87" s="253" t="str">
        <x:f>'作業計画'!E87</x:f>
        <x:v>OutputLakehouse</x:v>
      </x:c>
      <x:c r="F87" s="291" t="str">
        <x:f>'作業計画'!F87</x:f>
        <x:v>2.中</x:v>
      </x:c>
      <x:c r="G87" s="291" t="str">
        <x:f>'作業計画'!G87</x:f>
        <x:v>00.未確認</x:v>
      </x:c>
      <x:c r="H87" s="306" t="str">
        <x:f>IF('作業計画'!$H87="設計",IF('作業計画'!O87="","",'作業計画'!O87),"")</x:f>
      </x:c>
      <x:c r="I87" s="306" t="str">
        <x:f>IF('作業計画'!$H87="設計",IF('作業計画'!P87="","",'作業計画'!P87),"")</x:f>
      </x:c>
      <x:c r="J87" s="306" t="str">
        <x:f>IF('作業計画'!$H87="設計",IF('作業計画'!Q87="","",'作業計画'!Q87),"")</x:f>
      </x:c>
      <x:c r="K87" s="306" t="str">
        <x:f>IF('作業計画'!$H87="設計",IF('作業計画'!R87="","",'作業計画'!R87),"")</x:f>
      </x:c>
      <x:c r="L87" s="307" t="str">
        <x:f>IF('作業計画'!$H87="設計",'作業計画'!U87,"")</x:f>
      </x:c>
      <x:c r="M87" s="291" t="str">
        <x:f>IF('作業計画'!$H87="設計",'作業計画'!V87,"")</x:f>
      </x:c>
      <x:c r="N87" s="306" t="str">
        <x:f>IF('作業計画'!$H87="開発",IF('作業計画'!O87="","",'作業計画'!O87),"")</x:f>
      </x:c>
      <x:c r="O87" s="306" t="str">
        <x:f>IF('作業計画'!$H87="開発",IF('作業計画'!P87="","",'作業計画'!P87),"")</x:f>
      </x:c>
      <x:c r="P87" s="306" t="str">
        <x:f>IF('作業計画'!$H87="開発",IF('作業計画'!Q87="","",'作業計画'!Q87),"")</x:f>
      </x:c>
      <x:c r="Q87" s="306" t="str">
        <x:f>IF('作業計画'!$H87="開発",IF('作業計画'!R87="","",'作業計画'!R87),"")</x:f>
      </x:c>
      <x:c r="R87" s="291" t="str">
        <x:f>IF('作業計画'!$H87="開発",'作業計画'!S87,"")</x:f>
      </x:c>
      <x:c r="S87" s="291" t="str">
        <x:f>IF('作業計画'!$H87="開発",'作業計画'!T87,"")</x:f>
      </x:c>
      <x:c r="T87" s="307" t="str">
        <x:f>IF('作業計画'!$H87="開発",'作業計画'!U87,"")</x:f>
      </x:c>
      <x:c r="U87" s="291" t="str">
        <x:f>IF('作業計画'!$H87="開発",'作業計画'!V87,"")</x:f>
      </x:c>
      <x:c r="V87" s="306" t="n">
        <x:f>IF('作業計画'!$H87="テスト",IF('作業計画'!O87="","",'作業計画'!O87),"")</x:f>
        <x:v>46387</x:v>
      </x:c>
      <x:c r="W87" s="306" t="n">
        <x:f>IF('作業計画'!$H87="テスト",IF('作業計画'!P87="","",'作業計画'!P87),"")</x:f>
        <x:v>46388</x:v>
      </x:c>
      <x:c r="X87" s="306" t="str">
        <x:f>IF('作業計画'!$H87="テスト",IF('作業計画'!Q87="","",'作業計画'!Q87),"")</x:f>
      </x:c>
      <x:c r="Y87" s="306" t="str">
        <x:f>IF('作業計画'!$H87="テスト",IF('作業計画'!R87="","",'作業計画'!R87),"")</x:f>
      </x:c>
      <x:c r="Z87" s="291" t="n">
        <x:f>IF('作業計画'!$H87="テスト",'作業計画'!S87,"")</x:f>
        <x:v>1</x:v>
      </x:c>
      <x:c r="AA87" s="291" t="n">
        <x:f>IF('作業計画'!$H87="テスト",'作業計画'!T87,"")</x:f>
        <x:v>0</x:v>
      </x:c>
      <x:c r="AB87" s="307" t="n">
        <x:f>IF('作業計画'!$H87="テスト",'作業計画'!U87,"")</x:f>
        <x:v>0</x:v>
      </x:c>
      <x:c r="AC87" s="291" t="str">
        <x:f>IF('作業計画'!$H87="テスト",'作業計画'!V87,"")</x:f>
        <x:v>予定前</x:v>
      </x:c>
      <x:c r="AD87" s="306" t="n">
        <x:f>IF('作業計画'!O87="","",'作業計画'!O87)</x:f>
        <x:v>46387</x:v>
      </x:c>
      <x:c r="AE87" s="306" t="n">
        <x:f>IF('作業計画'!P87="","",'作業計画'!P87)</x:f>
        <x:v>46388</x:v>
      </x:c>
      <x:c r="AF87" s="306" t="str">
        <x:f>IF('作業計画'!Q87="","",'作業計画'!Q87)</x:f>
      </x:c>
      <x:c r="AG87" s="306" t="str">
        <x:f>IF('作業計画'!R87="","",'作業計画'!R87)</x:f>
      </x:c>
      <x:c r="AH87" s="291" t="n">
        <x:f>'作業計画'!S87</x:f>
        <x:v>1</x:v>
      </x:c>
      <x:c r="AI87" s="291" t="n">
        <x:f>'作業計画'!T87</x:f>
        <x:v>0</x:v>
      </x:c>
      <x:c r="AJ87" s="307" t="n">
        <x:f>'作業計画'!U87</x:f>
        <x:v>0</x:v>
      </x:c>
      <x:c r="AK87" s="291" t="str">
        <x:f>'作業計画'!V87</x:f>
        <x:v>予定前</x:v>
      </x:c>
      <x:c r="AL87" s="291" t="str">
        <x:f>'作業計画'!W87</x:f>
        <x:v>48／53</x:v>
      </x:c>
      <x:c r="AM87" s="291" t="str">
        <x:f>'作業計画'!J87&amp;IF('作業計画'!K87="",""," / "&amp;'作業計画'!K87)&amp;IF('作業計画'!L87="",""," / "&amp;'作業計画'!L87)</x:f>
        <x:v>00066 / 00074</x:v>
      </x:c>
      <x:c r="AN87" s="253" t="str">
        <x:f>'作業計画'!Y87</x:f>
        <x:v>Watermark整合性・異常終了時の状態確認</x:v>
      </x:c>
      <x:c r="AO87" s="253" t="str">
        <x:f>IF('作業計画'!Z87="","",'作業計画'!Z87)</x:f>
      </x:c>
      <x:c r="AP87" s="254" t="str">
        <x:f>'作業計画'!X87</x:f>
        <x:v>補足（原作業の試験展開）</x:v>
      </x:c>
    </x:row>
    <x:row r="88" ht="54" customHeight="1">
      <x:c r="A88" s="457" t="str">
        <x:f>'作業計画'!A88</x:f>
        <x:v>00082</x:v>
      </x:c>
      <x:c r="B88" s="332" t="str">
        <x:f>'作業計画'!B88</x:f>
        <x:v>05.単体テスト</x:v>
      </x:c>
      <x:c r="C88" s="250" t="str">
        <x:f>'作業計画'!C88</x:f>
        <x:v>単体結果レビュー・結合テスト移行判定</x:v>
      </x:c>
      <x:c r="D88" s="250" t="str">
        <x:f>'作業計画'!D88</x:f>
        <x:v>品質／開発リーダー（要確定）</x:v>
      </x:c>
      <x:c r="E88" s="250" t="str">
        <x:f>'作業計画'!E88</x:f>
        <x:v>Fabric</x:v>
      </x:c>
      <x:c r="F88" s="289" t="str">
        <x:f>'作業計画'!F88</x:f>
        <x:v>2.中</x:v>
      </x:c>
      <x:c r="G88" s="289" t="str">
        <x:f>'作業計画'!G88</x:f>
        <x:v>00.未確認</x:v>
      </x:c>
      <x:c r="H88" s="304" t="str">
        <x:f>IF('作業計画'!$H88="設計",IF('作業計画'!O88="","",'作業計画'!O88),"")</x:f>
      </x:c>
      <x:c r="I88" s="304" t="str">
        <x:f>IF('作業計画'!$H88="設計",IF('作業計画'!P88="","",'作業計画'!P88),"")</x:f>
      </x:c>
      <x:c r="J88" s="304" t="str">
        <x:f>IF('作業計画'!$H88="設計",IF('作業計画'!Q88="","",'作業計画'!Q88),"")</x:f>
      </x:c>
      <x:c r="K88" s="304" t="str">
        <x:f>IF('作業計画'!$H88="設計",IF('作業計画'!R88="","",'作業計画'!R88),"")</x:f>
      </x:c>
      <x:c r="L88" s="305" t="str">
        <x:f>IF('作業計画'!$H88="設計",'作業計画'!U88,"")</x:f>
      </x:c>
      <x:c r="M88" s="289" t="str">
        <x:f>IF('作業計画'!$H88="設計",'作業計画'!V88,"")</x:f>
      </x:c>
      <x:c r="N88" s="304" t="str">
        <x:f>IF('作業計画'!$H88="開発",IF('作業計画'!O88="","",'作業計画'!O88),"")</x:f>
      </x:c>
      <x:c r="O88" s="304" t="str">
        <x:f>IF('作業計画'!$H88="開発",IF('作業計画'!P88="","",'作業計画'!P88),"")</x:f>
      </x:c>
      <x:c r="P88" s="304" t="str">
        <x:f>IF('作業計画'!$H88="開発",IF('作業計画'!Q88="","",'作業計画'!Q88),"")</x:f>
      </x:c>
      <x:c r="Q88" s="304" t="str">
        <x:f>IF('作業計画'!$H88="開発",IF('作業計画'!R88="","",'作業計画'!R88),"")</x:f>
      </x:c>
      <x:c r="R88" s="289" t="str">
        <x:f>IF('作業計画'!$H88="開発",'作業計画'!S88,"")</x:f>
      </x:c>
      <x:c r="S88" s="289" t="str">
        <x:f>IF('作業計画'!$H88="開発",'作業計画'!T88,"")</x:f>
      </x:c>
      <x:c r="T88" s="305" t="str">
        <x:f>IF('作業計画'!$H88="開発",'作業計画'!U88,"")</x:f>
      </x:c>
      <x:c r="U88" s="289" t="str">
        <x:f>IF('作業計画'!$H88="開発",'作業計画'!V88,"")</x:f>
      </x:c>
      <x:c r="V88" s="304" t="n">
        <x:f>IF('作業計画'!$H88="テスト",IF('作業計画'!O88="","",'作業計画'!O88),"")</x:f>
        <x:v>46407</x:v>
      </x:c>
      <x:c r="W88" s="304" t="n">
        <x:f>IF('作業計画'!$H88="テスト",IF('作業計画'!P88="","",'作業計画'!P88),"")</x:f>
        <x:v>46407</x:v>
      </x:c>
      <x:c r="X88" s="304" t="str">
        <x:f>IF('作業計画'!$H88="テスト",IF('作業計画'!Q88="","",'作業計画'!Q88),"")</x:f>
      </x:c>
      <x:c r="Y88" s="304" t="str">
        <x:f>IF('作業計画'!$H88="テスト",IF('作業計画'!R88="","",'作業計画'!R88),"")</x:f>
      </x:c>
      <x:c r="Z88" s="289" t="n">
        <x:f>IF('作業計画'!$H88="テスト",'作業計画'!S88,"")</x:f>
        <x:v>1</x:v>
      </x:c>
      <x:c r="AA88" s="289" t="n">
        <x:f>IF('作業計画'!$H88="テスト",'作業計画'!T88,"")</x:f>
        <x:v>0</x:v>
      </x:c>
      <x:c r="AB88" s="305" t="n">
        <x:f>IF('作業計画'!$H88="テスト",'作業計画'!U88,"")</x:f>
        <x:v>0</x:v>
      </x:c>
      <x:c r="AC88" s="289" t="str">
        <x:f>IF('作業計画'!$H88="テスト",'作業計画'!V88,"")</x:f>
        <x:v>予定前</x:v>
      </x:c>
      <x:c r="AD88" s="304" t="n">
        <x:f>IF('作業計画'!O88="","",'作業計画'!O88)</x:f>
        <x:v>46407</x:v>
      </x:c>
      <x:c r="AE88" s="304" t="n">
        <x:f>IF('作業計画'!P88="","",'作業計画'!P88)</x:f>
        <x:v>46407</x:v>
      </x:c>
      <x:c r="AF88" s="304" t="str">
        <x:f>IF('作業計画'!Q88="","",'作業計画'!Q88)</x:f>
      </x:c>
      <x:c r="AG88" s="304" t="str">
        <x:f>IF('作業計画'!R88="","",'作業計画'!R88)</x:f>
      </x:c>
      <x:c r="AH88" s="289" t="n">
        <x:f>'作業計画'!S88</x:f>
        <x:v>1</x:v>
      </x:c>
      <x:c r="AI88" s="289" t="n">
        <x:f>'作業計画'!T88</x:f>
        <x:v>0</x:v>
      </x:c>
      <x:c r="AJ88" s="305" t="n">
        <x:f>'作業計画'!U88</x:f>
        <x:v>0</x:v>
      </x:c>
      <x:c r="AK88" s="289" t="str">
        <x:f>'作業計画'!V88</x:f>
        <x:v>予定前</x:v>
      </x:c>
      <x:c r="AL88" s="289" t="str">
        <x:f>'作業計画'!W88</x:f>
        <x:v>50／51／52／53</x:v>
      </x:c>
      <x:c r="AM88" s="289" t="str">
        <x:f>'作業計画'!J88&amp;IF('作業計画'!K88="",""," / "&amp;'作業計画'!K88)&amp;IF('作業計画'!L88="",""," / "&amp;'作業計画'!L88)</x:f>
        <x:v>00080 / 00081 / 00071</x:v>
      </x:c>
      <x:c r="AN88" s="250" t="str">
        <x:f>'作業計画'!Y88</x:f>
        <x:v>不具合残件・単体完了の確認記録</x:v>
      </x:c>
      <x:c r="AO88" s="250" t="str">
        <x:f>IF('作業計画'!Z88="","",'作業計画'!Z88)</x:f>
      </x:c>
      <x:c r="AP88" s="251" t="str">
        <x:f>'作業計画'!X88</x:f>
        <x:v>補足（テスト完了判定）</x:v>
      </x:c>
    </x:row>
    <x:row r="89" ht="54" customHeight="1">
      <x:c r="A89" s="458" t="str">
        <x:f>'作業計画'!A89</x:f>
        <x:v>00083</x:v>
      </x:c>
      <x:c r="B89" s="334" t="str">
        <x:f>'作業計画'!B89</x:f>
        <x:v>06.結合テスト</x:v>
      </x:c>
      <x:c r="C89" s="253" t="str">
        <x:f>'作業計画'!C89</x:f>
        <x:v>Bronze：既存テーブルを含む全体性能確認</x:v>
      </x:c>
      <x:c r="D89" s="253" t="str">
        <x:f>'作業計画'!D89</x:f>
        <x:v>テスト担当（要確定）</x:v>
      </x:c>
      <x:c r="E89" s="253" t="str">
        <x:f>'作業計画'!E89</x:f>
        <x:v>BronzeLakehouse</x:v>
      </x:c>
      <x:c r="F89" s="291" t="str">
        <x:f>'作業計画'!F89</x:f>
        <x:v>1.高</x:v>
      </x:c>
      <x:c r="G89" s="291" t="str">
        <x:f>'作業計画'!G89</x:f>
        <x:v>00.未確認</x:v>
      </x:c>
      <x:c r="H89" s="306" t="str">
        <x:f>IF('作業計画'!$H89="設計",IF('作業計画'!O89="","",'作業計画'!O89),"")</x:f>
      </x:c>
      <x:c r="I89" s="306" t="str">
        <x:f>IF('作業計画'!$H89="設計",IF('作業計画'!P89="","",'作業計画'!P89),"")</x:f>
      </x:c>
      <x:c r="J89" s="306" t="str">
        <x:f>IF('作業計画'!$H89="設計",IF('作業計画'!Q89="","",'作業計画'!Q89),"")</x:f>
      </x:c>
      <x:c r="K89" s="306" t="str">
        <x:f>IF('作業計画'!$H89="設計",IF('作業計画'!R89="","",'作業計画'!R89),"")</x:f>
      </x:c>
      <x:c r="L89" s="307" t="str">
        <x:f>IF('作業計画'!$H89="設計",'作業計画'!U89,"")</x:f>
      </x:c>
      <x:c r="M89" s="291" t="str">
        <x:f>IF('作業計画'!$H89="設計",'作業計画'!V89,"")</x:f>
      </x:c>
      <x:c r="N89" s="306" t="str">
        <x:f>IF('作業計画'!$H89="開発",IF('作業計画'!O89="","",'作業計画'!O89),"")</x:f>
      </x:c>
      <x:c r="O89" s="306" t="str">
        <x:f>IF('作業計画'!$H89="開発",IF('作業計画'!P89="","",'作業計画'!P89),"")</x:f>
      </x:c>
      <x:c r="P89" s="306" t="str">
        <x:f>IF('作業計画'!$H89="開発",IF('作業計画'!Q89="","",'作業計画'!Q89),"")</x:f>
      </x:c>
      <x:c r="Q89" s="306" t="str">
        <x:f>IF('作業計画'!$H89="開発",IF('作業計画'!R89="","",'作業計画'!R89),"")</x:f>
      </x:c>
      <x:c r="R89" s="291" t="str">
        <x:f>IF('作業計画'!$H89="開発",'作業計画'!S89,"")</x:f>
      </x:c>
      <x:c r="S89" s="291" t="str">
        <x:f>IF('作業計画'!$H89="開発",'作業計画'!T89,"")</x:f>
      </x:c>
      <x:c r="T89" s="307" t="str">
        <x:f>IF('作業計画'!$H89="開発",'作業計画'!U89,"")</x:f>
      </x:c>
      <x:c r="U89" s="291" t="str">
        <x:f>IF('作業計画'!$H89="開発",'作業計画'!V89,"")</x:f>
      </x:c>
      <x:c r="V89" s="306" t="n">
        <x:f>IF('作業計画'!$H89="テスト",IF('作業計画'!O89="","",'作業計画'!O89),"")</x:f>
        <x:v>46412</x:v>
      </x:c>
      <x:c r="W89" s="306" t="n">
        <x:f>IF('作業計画'!$H89="テスト",IF('作業計画'!P89="","",'作業計画'!P89),"")</x:f>
        <x:v>46414</x:v>
      </x:c>
      <x:c r="X89" s="306" t="str">
        <x:f>IF('作業計画'!$H89="テスト",IF('作業計画'!Q89="","",'作業計画'!Q89),"")</x:f>
      </x:c>
      <x:c r="Y89" s="306" t="str">
        <x:f>IF('作業計画'!$H89="テスト",IF('作業計画'!R89="","",'作業計画'!R89),"")</x:f>
      </x:c>
      <x:c r="Z89" s="291" t="n">
        <x:f>IF('作業計画'!$H89="テスト",'作業計画'!S89,"")</x:f>
        <x:v>1</x:v>
      </x:c>
      <x:c r="AA89" s="291" t="n">
        <x:f>IF('作業計画'!$H89="テスト",'作業計画'!T89,"")</x:f>
        <x:v>0</x:v>
      </x:c>
      <x:c r="AB89" s="307" t="n">
        <x:f>IF('作業計画'!$H89="テスト",'作業計画'!U89,"")</x:f>
        <x:v>0</x:v>
      </x:c>
      <x:c r="AC89" s="291" t="str">
        <x:f>IF('作業計画'!$H89="テスト",'作業計画'!V89,"")</x:f>
        <x:v>予定前</x:v>
      </x:c>
      <x:c r="AD89" s="306" t="n">
        <x:f>IF('作業計画'!O89="","",'作業計画'!O89)</x:f>
        <x:v>46412</x:v>
      </x:c>
      <x:c r="AE89" s="306" t="n">
        <x:f>IF('作業計画'!P89="","",'作業計画'!P89)</x:f>
        <x:v>46414</x:v>
      </x:c>
      <x:c r="AF89" s="306" t="str">
        <x:f>IF('作業計画'!Q89="","",'作業計画'!Q89)</x:f>
      </x:c>
      <x:c r="AG89" s="306" t="str">
        <x:f>IF('作業計画'!R89="","",'作業計画'!R89)</x:f>
      </x:c>
      <x:c r="AH89" s="291" t="n">
        <x:f>'作業計画'!S89</x:f>
        <x:v>1</x:v>
      </x:c>
      <x:c r="AI89" s="291" t="n">
        <x:f>'作業計画'!T89</x:f>
        <x:v>0</x:v>
      </x:c>
      <x:c r="AJ89" s="307" t="n">
        <x:f>'作業計画'!U89</x:f>
        <x:v>0</x:v>
      </x:c>
      <x:c r="AK89" s="291" t="str">
        <x:f>'作業計画'!V89</x:f>
        <x:v>予定前</x:v>
      </x:c>
      <x:c r="AL89" s="291" t="str">
        <x:f>'作業計画'!W89</x:f>
        <x:v>54</x:v>
      </x:c>
      <x:c r="AM89" s="291" t="str">
        <x:f>'作業計画'!J89&amp;IF('作業計画'!K89="",""," / "&amp;'作業計画'!K89)&amp;IF('作業計画'!L89="",""," / "&amp;'作業計画'!L89)</x:f>
        <x:v>00082 / 00068</x:v>
      </x:c>
      <x:c r="AN89" s="253" t="str">
        <x:f>'作業計画'!Y89</x:f>
        <x:v>変更前後・既存処理への影響・処理時間の測定記録</x:v>
      </x:c>
      <x:c r="AO89" s="253" t="str">
        <x:f>IF('作業計画'!Z89="","",'作業計画'!Z89)</x:f>
      </x:c>
      <x:c r="AP89" s="254" t="str">
        <x:f>'作業計画'!X89</x:f>
        <x:v>原資料展開</x:v>
      </x:c>
    </x:row>
    <x:row r="90" ht="54" customHeight="1">
      <x:c r="A90" s="457" t="str">
        <x:f>'作業計画'!A90</x:f>
        <x:v>00084</x:v>
      </x:c>
      <x:c r="B90" s="334" t="str">
        <x:f>'作業計画'!B90</x:f>
        <x:v>06.結合テスト</x:v>
      </x:c>
      <x:c r="C90" s="250" t="str">
        <x:f>'作業計画'!C90</x:f>
        <x:v>Silver：既存テーブルを含む全体性能確認</x:v>
      </x:c>
      <x:c r="D90" s="250" t="str">
        <x:f>'作業計画'!D90</x:f>
        <x:v>テスト担当（要確定）</x:v>
      </x:c>
      <x:c r="E90" s="250" t="str">
        <x:f>'作業計画'!E90</x:f>
        <x:v>SilverLakehouse</x:v>
      </x:c>
      <x:c r="F90" s="289" t="str">
        <x:f>'作業計画'!F90</x:f>
        <x:v>1.高</x:v>
      </x:c>
      <x:c r="G90" s="289" t="str">
        <x:f>'作業計画'!G90</x:f>
        <x:v>00.未確認</x:v>
      </x:c>
      <x:c r="H90" s="304" t="str">
        <x:f>IF('作業計画'!$H90="設計",IF('作業計画'!O90="","",'作業計画'!O90),"")</x:f>
      </x:c>
      <x:c r="I90" s="304" t="str">
        <x:f>IF('作業計画'!$H90="設計",IF('作業計画'!P90="","",'作業計画'!P90),"")</x:f>
      </x:c>
      <x:c r="J90" s="304" t="str">
        <x:f>IF('作業計画'!$H90="設計",IF('作業計画'!Q90="","",'作業計画'!Q90),"")</x:f>
      </x:c>
      <x:c r="K90" s="304" t="str">
        <x:f>IF('作業計画'!$H90="設計",IF('作業計画'!R90="","",'作業計画'!R90),"")</x:f>
      </x:c>
      <x:c r="L90" s="305" t="str">
        <x:f>IF('作業計画'!$H90="設計",'作業計画'!U90,"")</x:f>
      </x:c>
      <x:c r="M90" s="289" t="str">
        <x:f>IF('作業計画'!$H90="設計",'作業計画'!V90,"")</x:f>
      </x:c>
      <x:c r="N90" s="304" t="str">
        <x:f>IF('作業計画'!$H90="開発",IF('作業計画'!O90="","",'作業計画'!O90),"")</x:f>
      </x:c>
      <x:c r="O90" s="304" t="str">
        <x:f>IF('作業計画'!$H90="開発",IF('作業計画'!P90="","",'作業計画'!P90),"")</x:f>
      </x:c>
      <x:c r="P90" s="304" t="str">
        <x:f>IF('作業計画'!$H90="開発",IF('作業計画'!Q90="","",'作業計画'!Q90),"")</x:f>
      </x:c>
      <x:c r="Q90" s="304" t="str">
        <x:f>IF('作業計画'!$H90="開発",IF('作業計画'!R90="","",'作業計画'!R90),"")</x:f>
      </x:c>
      <x:c r="R90" s="289" t="str">
        <x:f>IF('作業計画'!$H90="開発",'作業計画'!S90,"")</x:f>
      </x:c>
      <x:c r="S90" s="289" t="str">
        <x:f>IF('作業計画'!$H90="開発",'作業計画'!T90,"")</x:f>
      </x:c>
      <x:c r="T90" s="305" t="str">
        <x:f>IF('作業計画'!$H90="開発",'作業計画'!U90,"")</x:f>
      </x:c>
      <x:c r="U90" s="289" t="str">
        <x:f>IF('作業計画'!$H90="開発",'作業計画'!V90,"")</x:f>
      </x:c>
      <x:c r="V90" s="304" t="n">
        <x:f>IF('作業計画'!$H90="テスト",IF('作業計画'!O90="","",'作業計画'!O90),"")</x:f>
        <x:v>46415</x:v>
      </x:c>
      <x:c r="W90" s="304" t="n">
        <x:f>IF('作業計画'!$H90="テスト",IF('作業計画'!P90="","",'作業計画'!P90),"")</x:f>
        <x:v>46419</x:v>
      </x:c>
      <x:c r="X90" s="304" t="str">
        <x:f>IF('作業計画'!$H90="テスト",IF('作業計画'!Q90="","",'作業計画'!Q90),"")</x:f>
      </x:c>
      <x:c r="Y90" s="304" t="str">
        <x:f>IF('作業計画'!$H90="テスト",IF('作業計画'!R90="","",'作業計画'!R90),"")</x:f>
      </x:c>
      <x:c r="Z90" s="289" t="n">
        <x:f>IF('作業計画'!$H90="テスト",'作業計画'!S90,"")</x:f>
        <x:v>1</x:v>
      </x:c>
      <x:c r="AA90" s="289" t="n">
        <x:f>IF('作業計画'!$H90="テスト",'作業計画'!T90,"")</x:f>
        <x:v>0</x:v>
      </x:c>
      <x:c r="AB90" s="305" t="n">
        <x:f>IF('作業計画'!$H90="テスト",'作業計画'!U90,"")</x:f>
        <x:v>0</x:v>
      </x:c>
      <x:c r="AC90" s="289" t="str">
        <x:f>IF('作業計画'!$H90="テスト",'作業計画'!V90,"")</x:f>
        <x:v>予定前</x:v>
      </x:c>
      <x:c r="AD90" s="304" t="n">
        <x:f>IF('作業計画'!O90="","",'作業計画'!O90)</x:f>
        <x:v>46415</x:v>
      </x:c>
      <x:c r="AE90" s="304" t="n">
        <x:f>IF('作業計画'!P90="","",'作業計画'!P90)</x:f>
        <x:v>46419</x:v>
      </x:c>
      <x:c r="AF90" s="304" t="str">
        <x:f>IF('作業計画'!Q90="","",'作業計画'!Q90)</x:f>
      </x:c>
      <x:c r="AG90" s="304" t="str">
        <x:f>IF('作業計画'!R90="","",'作業計画'!R90)</x:f>
      </x:c>
      <x:c r="AH90" s="289" t="n">
        <x:f>'作業計画'!S90</x:f>
        <x:v>1</x:v>
      </x:c>
      <x:c r="AI90" s="289" t="n">
        <x:f>'作業計画'!T90</x:f>
        <x:v>0</x:v>
      </x:c>
      <x:c r="AJ90" s="305" t="n">
        <x:f>'作業計画'!U90</x:f>
        <x:v>0</x:v>
      </x:c>
      <x:c r="AK90" s="289" t="str">
        <x:f>'作業計画'!V90</x:f>
        <x:v>予定前</x:v>
      </x:c>
      <x:c r="AL90" s="289" t="str">
        <x:f>'作業計画'!W90</x:f>
        <x:v>55</x:v>
      </x:c>
      <x:c r="AM90" s="289" t="str">
        <x:f>'作業計画'!J90&amp;IF('作業計画'!K90="",""," / "&amp;'作業計画'!K90)&amp;IF('作業計画'!L90="",""," / "&amp;'作業計画'!L90)</x:f>
        <x:v>00083</x:v>
      </x:c>
      <x:c r="AN90" s="250" t="str">
        <x:f>'作業計画'!Y90</x:f>
        <x:v>既存処理・追加処理の全体性能と回帰確認</x:v>
      </x:c>
      <x:c r="AO90" s="250" t="str">
        <x:f>IF('作業計画'!Z90="","",'作業計画'!Z90)</x:f>
      </x:c>
      <x:c r="AP90" s="251" t="str">
        <x:f>'作業計画'!X90</x:f>
        <x:v>原資料展開</x:v>
      </x:c>
    </x:row>
    <x:row r="91" ht="54" customHeight="1">
      <x:c r="A91" s="458" t="str">
        <x:f>'作業計画'!A91</x:f>
        <x:v>00085</x:v>
      </x:c>
      <x:c r="B91" s="334" t="str">
        <x:f>'作業計画'!B91</x:f>
        <x:v>06.結合テスト</x:v>
      </x:c>
      <x:c r="C91" s="253" t="str">
        <x:f>'作業計画'!C91</x:f>
        <x:v>Output：出力・Dataverse連携の性能確認</x:v>
      </x:c>
      <x:c r="D91" s="253" t="str">
        <x:f>'作業計画'!D91</x:f>
        <x:v>テスト担当（要確定）</x:v>
      </x:c>
      <x:c r="E91" s="253" t="str">
        <x:f>'作業計画'!E91</x:f>
        <x:v>OutputLakehouse／Dataverse</x:v>
      </x:c>
      <x:c r="F91" s="291" t="str">
        <x:f>'作業計画'!F91</x:f>
        <x:v>1.高</x:v>
      </x:c>
      <x:c r="G91" s="291" t="str">
        <x:f>'作業計画'!G91</x:f>
        <x:v>00.未確認</x:v>
      </x:c>
      <x:c r="H91" s="306" t="str">
        <x:f>IF('作業計画'!$H91="設計",IF('作業計画'!O91="","",'作業計画'!O91),"")</x:f>
      </x:c>
      <x:c r="I91" s="306" t="str">
        <x:f>IF('作業計画'!$H91="設計",IF('作業計画'!P91="","",'作業計画'!P91),"")</x:f>
      </x:c>
      <x:c r="J91" s="306" t="str">
        <x:f>IF('作業計画'!$H91="設計",IF('作業計画'!Q91="","",'作業計画'!Q91),"")</x:f>
      </x:c>
      <x:c r="K91" s="306" t="str">
        <x:f>IF('作業計画'!$H91="設計",IF('作業計画'!R91="","",'作業計画'!R91),"")</x:f>
      </x:c>
      <x:c r="L91" s="307" t="str">
        <x:f>IF('作業計画'!$H91="設計",'作業計画'!U91,"")</x:f>
      </x:c>
      <x:c r="M91" s="291" t="str">
        <x:f>IF('作業計画'!$H91="設計",'作業計画'!V91,"")</x:f>
      </x:c>
      <x:c r="N91" s="306" t="str">
        <x:f>IF('作業計画'!$H91="開発",IF('作業計画'!O91="","",'作業計画'!O91),"")</x:f>
      </x:c>
      <x:c r="O91" s="306" t="str">
        <x:f>IF('作業計画'!$H91="開発",IF('作業計画'!P91="","",'作業計画'!P91),"")</x:f>
      </x:c>
      <x:c r="P91" s="306" t="str">
        <x:f>IF('作業計画'!$H91="開発",IF('作業計画'!Q91="","",'作業計画'!Q91),"")</x:f>
      </x:c>
      <x:c r="Q91" s="306" t="str">
        <x:f>IF('作業計画'!$H91="開発",IF('作業計画'!R91="","",'作業計画'!R91),"")</x:f>
      </x:c>
      <x:c r="R91" s="291" t="str">
        <x:f>IF('作業計画'!$H91="開発",'作業計画'!S91,"")</x:f>
      </x:c>
      <x:c r="S91" s="291" t="str">
        <x:f>IF('作業計画'!$H91="開発",'作業計画'!T91,"")</x:f>
      </x:c>
      <x:c r="T91" s="307" t="str">
        <x:f>IF('作業計画'!$H91="開発",'作業計画'!U91,"")</x:f>
      </x:c>
      <x:c r="U91" s="291" t="str">
        <x:f>IF('作業計画'!$H91="開発",'作業計画'!V91,"")</x:f>
      </x:c>
      <x:c r="V91" s="306" t="n">
        <x:f>IF('作業計画'!$H91="テスト",IF('作業計画'!O91="","",'作業計画'!O91),"")</x:f>
        <x:v>46420</x:v>
      </x:c>
      <x:c r="W91" s="306" t="n">
        <x:f>IF('作業計画'!$H91="テスト",IF('作業計画'!P91="","",'作業計画'!P91),"")</x:f>
        <x:v>46422</x:v>
      </x:c>
      <x:c r="X91" s="306" t="str">
        <x:f>IF('作業計画'!$H91="テスト",IF('作業計画'!Q91="","",'作業計画'!Q91),"")</x:f>
      </x:c>
      <x:c r="Y91" s="306" t="str">
        <x:f>IF('作業計画'!$H91="テスト",IF('作業計画'!R91="","",'作業計画'!R91),"")</x:f>
      </x:c>
      <x:c r="Z91" s="291" t="n">
        <x:f>IF('作業計画'!$H91="テスト",'作業計画'!S91,"")</x:f>
        <x:v>1</x:v>
      </x:c>
      <x:c r="AA91" s="291" t="n">
        <x:f>IF('作業計画'!$H91="テスト",'作業計画'!T91,"")</x:f>
        <x:v>0</x:v>
      </x:c>
      <x:c r="AB91" s="307" t="n">
        <x:f>IF('作業計画'!$H91="テスト",'作業計画'!U91,"")</x:f>
        <x:v>0</x:v>
      </x:c>
      <x:c r="AC91" s="291" t="str">
        <x:f>IF('作業計画'!$H91="テスト",'作業計画'!V91,"")</x:f>
        <x:v>予定前</x:v>
      </x:c>
      <x:c r="AD91" s="306" t="n">
        <x:f>IF('作業計画'!O91="","",'作業計画'!O91)</x:f>
        <x:v>46420</x:v>
      </x:c>
      <x:c r="AE91" s="306" t="n">
        <x:f>IF('作業計画'!P91="","",'作業計画'!P91)</x:f>
        <x:v>46422</x:v>
      </x:c>
      <x:c r="AF91" s="306" t="str">
        <x:f>IF('作業計画'!Q91="","",'作業計画'!Q91)</x:f>
      </x:c>
      <x:c r="AG91" s="306" t="str">
        <x:f>IF('作業計画'!R91="","",'作業計画'!R91)</x:f>
      </x:c>
      <x:c r="AH91" s="291" t="n">
        <x:f>'作業計画'!S91</x:f>
        <x:v>1</x:v>
      </x:c>
      <x:c r="AI91" s="291" t="n">
        <x:f>'作業計画'!T91</x:f>
        <x:v>0</x:v>
      </x:c>
      <x:c r="AJ91" s="307" t="n">
        <x:f>'作業計画'!U91</x:f>
        <x:v>0</x:v>
      </x:c>
      <x:c r="AK91" s="291" t="str">
        <x:f>'作業計画'!V91</x:f>
        <x:v>予定前</x:v>
      </x:c>
      <x:c r="AL91" s="291" t="str">
        <x:f>'作業計画'!W91</x:f>
        <x:v>56</x:v>
      </x:c>
      <x:c r="AM91" s="291" t="str">
        <x:f>'作業計画'!J91&amp;IF('作業計画'!K91="",""," / "&amp;'作業計画'!K91)&amp;IF('作業計画'!L91="",""," / "&amp;'作業計画'!L91)</x:f>
        <x:v>00084 / 00067</x:v>
      </x:c>
      <x:c r="AN91" s="253" t="str">
        <x:f>'作業計画'!Y91</x:f>
        <x:v>出力・コピー時間とSLA適合確認</x:v>
      </x:c>
      <x:c r="AO91" s="253" t="str">
        <x:f>IF('作業計画'!Z91="","",'作業計画'!Z91)</x:f>
        <x:v>8時ごろの許容時刻は要件で合意した値を使用。</x:v>
      </x:c>
      <x:c r="AP91" s="254" t="str">
        <x:f>'作業計画'!X91</x:f>
        <x:v>原資料展開</x:v>
      </x:c>
    </x:row>
    <x:row r="92" ht="54" customHeight="1">
      <x:c r="A92" s="457" t="str">
        <x:f>'作業計画'!A92</x:f>
        <x:v>00086</x:v>
      </x:c>
      <x:c r="B92" s="334" t="str">
        <x:f>'作業計画'!B92</x:f>
        <x:v>06.結合テスト</x:v>
      </x:c>
      <x:c r="C92" s="250" t="str">
        <x:f>'作業計画'!C92</x:f>
        <x:v>結合シナリオ：初回全件連携の確認</x:v>
      </x:c>
      <x:c r="D92" s="250" t="str">
        <x:f>'作業計画'!D92</x:f>
        <x:v>テスト担当（要確定）</x:v>
      </x:c>
      <x:c r="E92" s="250" t="str">
        <x:f>'作業計画'!E92</x:f>
        <x:v>Fabric／Dataverse</x:v>
      </x:c>
      <x:c r="F92" s="289" t="str">
        <x:f>'作業計画'!F92</x:f>
        <x:v>2.中</x:v>
      </x:c>
      <x:c r="G92" s="289" t="str">
        <x:f>'作業計画'!G92</x:f>
        <x:v>00.未確認</x:v>
      </x:c>
      <x:c r="H92" s="304" t="str">
        <x:f>IF('作業計画'!$H92="設計",IF('作業計画'!O92="","",'作業計画'!O92),"")</x:f>
      </x:c>
      <x:c r="I92" s="304" t="str">
        <x:f>IF('作業計画'!$H92="設計",IF('作業計画'!P92="","",'作業計画'!P92),"")</x:f>
      </x:c>
      <x:c r="J92" s="304" t="str">
        <x:f>IF('作業計画'!$H92="設計",IF('作業計画'!Q92="","",'作業計画'!Q92),"")</x:f>
      </x:c>
      <x:c r="K92" s="304" t="str">
        <x:f>IF('作業計画'!$H92="設計",IF('作業計画'!R92="","",'作業計画'!R92),"")</x:f>
      </x:c>
      <x:c r="L92" s="305" t="str">
        <x:f>IF('作業計画'!$H92="設計",'作業計画'!U92,"")</x:f>
      </x:c>
      <x:c r="M92" s="289" t="str">
        <x:f>IF('作業計画'!$H92="設計",'作業計画'!V92,"")</x:f>
      </x:c>
      <x:c r="N92" s="304" t="str">
        <x:f>IF('作業計画'!$H92="開発",IF('作業計画'!O92="","",'作業計画'!O92),"")</x:f>
      </x:c>
      <x:c r="O92" s="304" t="str">
        <x:f>IF('作業計画'!$H92="開発",IF('作業計画'!P92="","",'作業計画'!P92),"")</x:f>
      </x:c>
      <x:c r="P92" s="304" t="str">
        <x:f>IF('作業計画'!$H92="開発",IF('作業計画'!Q92="","",'作業計画'!Q92),"")</x:f>
      </x:c>
      <x:c r="Q92" s="304" t="str">
        <x:f>IF('作業計画'!$H92="開発",IF('作業計画'!R92="","",'作業計画'!R92),"")</x:f>
      </x:c>
      <x:c r="R92" s="289" t="str">
        <x:f>IF('作業計画'!$H92="開発",'作業計画'!S92,"")</x:f>
      </x:c>
      <x:c r="S92" s="289" t="str">
        <x:f>IF('作業計画'!$H92="開発",'作業計画'!T92,"")</x:f>
      </x:c>
      <x:c r="T92" s="305" t="str">
        <x:f>IF('作業計画'!$H92="開発",'作業計画'!U92,"")</x:f>
      </x:c>
      <x:c r="U92" s="289" t="str">
        <x:f>IF('作業計画'!$H92="開発",'作業計画'!V92,"")</x:f>
      </x:c>
      <x:c r="V92" s="304" t="n">
        <x:f>IF('作業計画'!$H92="テスト",IF('作業計画'!O92="","",'作業計画'!O92),"")</x:f>
        <x:v>46423</x:v>
      </x:c>
      <x:c r="W92" s="304" t="n">
        <x:f>IF('作業計画'!$H92="テスト",IF('作業計画'!P92="","",'作業計画'!P92),"")</x:f>
        <x:v>46426</x:v>
      </x:c>
      <x:c r="X92" s="304" t="str">
        <x:f>IF('作業計画'!$H92="テスト",IF('作業計画'!Q92="","",'作業計画'!Q92),"")</x:f>
      </x:c>
      <x:c r="Y92" s="304" t="str">
        <x:f>IF('作業計画'!$H92="テスト",IF('作業計画'!R92="","",'作業計画'!R92),"")</x:f>
      </x:c>
      <x:c r="Z92" s="289" t="n">
        <x:f>IF('作業計画'!$H92="テスト",'作業計画'!S92,"")</x:f>
        <x:v>1</x:v>
      </x:c>
      <x:c r="AA92" s="289" t="n">
        <x:f>IF('作業計画'!$H92="テスト",'作業計画'!T92,"")</x:f>
        <x:v>0</x:v>
      </x:c>
      <x:c r="AB92" s="305" t="n">
        <x:f>IF('作業計画'!$H92="テスト",'作業計画'!U92,"")</x:f>
        <x:v>0</x:v>
      </x:c>
      <x:c r="AC92" s="289" t="str">
        <x:f>IF('作業計画'!$H92="テスト",'作業計画'!V92,"")</x:f>
        <x:v>予定前</x:v>
      </x:c>
      <x:c r="AD92" s="304" t="n">
        <x:f>IF('作業計画'!O92="","",'作業計画'!O92)</x:f>
        <x:v>46423</x:v>
      </x:c>
      <x:c r="AE92" s="304" t="n">
        <x:f>IF('作業計画'!P92="","",'作業計画'!P92)</x:f>
        <x:v>46426</x:v>
      </x:c>
      <x:c r="AF92" s="304" t="str">
        <x:f>IF('作業計画'!Q92="","",'作業計画'!Q92)</x:f>
      </x:c>
      <x:c r="AG92" s="304" t="str">
        <x:f>IF('作業計画'!R92="","",'作業計画'!R92)</x:f>
      </x:c>
      <x:c r="AH92" s="289" t="n">
        <x:f>'作業計画'!S92</x:f>
        <x:v>1</x:v>
      </x:c>
      <x:c r="AI92" s="289" t="n">
        <x:f>'作業計画'!T92</x:f>
        <x:v>0</x:v>
      </x:c>
      <x:c r="AJ92" s="305" t="n">
        <x:f>'作業計画'!U92</x:f>
        <x:v>0</x:v>
      </x:c>
      <x:c r="AK92" s="289" t="str">
        <x:f>'作業計画'!V92</x:f>
        <x:v>予定前</x:v>
      </x:c>
      <x:c r="AL92" s="289" t="str">
        <x:f>'作業計画'!W92</x:f>
        <x:v>57</x:v>
      </x:c>
      <x:c r="AM92" s="289" t="str">
        <x:f>'作業計画'!J92&amp;IF('作業計画'!K92="",""," / "&amp;'作業計画'!K92)&amp;IF('作業計画'!L92="",""," / "&amp;'作業計画'!L92)</x:f>
        <x:v>00085</x:v>
      </x:c>
      <x:c r="AN92" s="250" t="str">
        <x:f>'作業計画'!Y92</x:f>
        <x:v>入力→加工→stg／tgt→Dataverseの全件一致確認</x:v>
      </x:c>
      <x:c r="AO92" s="250" t="str">
        <x:f>IF('作業計画'!Z92="","",'作業計画'!Z92)</x:f>
      </x:c>
      <x:c r="AP92" s="251" t="str">
        <x:f>'作業計画'!X92</x:f>
        <x:v>原資料展開</x:v>
      </x:c>
    </x:row>
    <x:row r="93" ht="54" customHeight="1">
      <x:c r="A93" s="458" t="str">
        <x:f>'作業計画'!A93</x:f>
        <x:v>00087</x:v>
      </x:c>
      <x:c r="B93" s="334" t="str">
        <x:f>'作業計画'!B93</x:f>
        <x:v>06.結合テスト</x:v>
      </x:c>
      <x:c r="C93" s="253" t="str">
        <x:f>'作業計画'!C93</x:f>
        <x:v>結合シナリオ：差分更新・Watermark連動確認</x:v>
      </x:c>
      <x:c r="D93" s="253" t="str">
        <x:f>'作業計画'!D93</x:f>
        <x:v>テスト担当（要確定）</x:v>
      </x:c>
      <x:c r="E93" s="253" t="str">
        <x:f>'作業計画'!E93</x:f>
        <x:v>Fabric／Dataverse</x:v>
      </x:c>
      <x:c r="F93" s="291" t="str">
        <x:f>'作業計画'!F93</x:f>
        <x:v>2.中</x:v>
      </x:c>
      <x:c r="G93" s="291" t="str">
        <x:f>'作業計画'!G93</x:f>
        <x:v>00.未確認</x:v>
      </x:c>
      <x:c r="H93" s="306" t="str">
        <x:f>IF('作業計画'!$H93="設計",IF('作業計画'!O93="","",'作業計画'!O93),"")</x:f>
      </x:c>
      <x:c r="I93" s="306" t="str">
        <x:f>IF('作業計画'!$H93="設計",IF('作業計画'!P93="","",'作業計画'!P93),"")</x:f>
      </x:c>
      <x:c r="J93" s="306" t="str">
        <x:f>IF('作業計画'!$H93="設計",IF('作業計画'!Q93="","",'作業計画'!Q93),"")</x:f>
      </x:c>
      <x:c r="K93" s="306" t="str">
        <x:f>IF('作業計画'!$H93="設計",IF('作業計画'!R93="","",'作業計画'!R93),"")</x:f>
      </x:c>
      <x:c r="L93" s="307" t="str">
        <x:f>IF('作業計画'!$H93="設計",'作業計画'!U93,"")</x:f>
      </x:c>
      <x:c r="M93" s="291" t="str">
        <x:f>IF('作業計画'!$H93="設計",'作業計画'!V93,"")</x:f>
      </x:c>
      <x:c r="N93" s="306" t="str">
        <x:f>IF('作業計画'!$H93="開発",IF('作業計画'!O93="","",'作業計画'!O93),"")</x:f>
      </x:c>
      <x:c r="O93" s="306" t="str">
        <x:f>IF('作業計画'!$H93="開発",IF('作業計画'!P93="","",'作業計画'!P93),"")</x:f>
      </x:c>
      <x:c r="P93" s="306" t="str">
        <x:f>IF('作業計画'!$H93="開発",IF('作業計画'!Q93="","",'作業計画'!Q93),"")</x:f>
      </x:c>
      <x:c r="Q93" s="306" t="str">
        <x:f>IF('作業計画'!$H93="開発",IF('作業計画'!R93="","",'作業計画'!R93),"")</x:f>
      </x:c>
      <x:c r="R93" s="291" t="str">
        <x:f>IF('作業計画'!$H93="開発",'作業計画'!S93,"")</x:f>
      </x:c>
      <x:c r="S93" s="291" t="str">
        <x:f>IF('作業計画'!$H93="開発",'作業計画'!T93,"")</x:f>
      </x:c>
      <x:c r="T93" s="307" t="str">
        <x:f>IF('作業計画'!$H93="開発",'作業計画'!U93,"")</x:f>
      </x:c>
      <x:c r="U93" s="291" t="str">
        <x:f>IF('作業計画'!$H93="開発",'作業計画'!V93,"")</x:f>
      </x:c>
      <x:c r="V93" s="306" t="n">
        <x:f>IF('作業計画'!$H93="テスト",IF('作業計画'!O93="","",'作業計画'!O93),"")</x:f>
        <x:v>46427</x:v>
      </x:c>
      <x:c r="W93" s="306" t="n">
        <x:f>IF('作業計画'!$H93="テスト",IF('作業計画'!P93="","",'作業計画'!P93),"")</x:f>
        <x:v>46428</x:v>
      </x:c>
      <x:c r="X93" s="306" t="str">
        <x:f>IF('作業計画'!$H93="テスト",IF('作業計画'!Q93="","",'作業計画'!Q93),"")</x:f>
      </x:c>
      <x:c r="Y93" s="306" t="str">
        <x:f>IF('作業計画'!$H93="テスト",IF('作業計画'!R93="","",'作業計画'!R93),"")</x:f>
      </x:c>
      <x:c r="Z93" s="291" t="n">
        <x:f>IF('作業計画'!$H93="テスト",'作業計画'!S93,"")</x:f>
        <x:v>1</x:v>
      </x:c>
      <x:c r="AA93" s="291" t="n">
        <x:f>IF('作業計画'!$H93="テスト",'作業計画'!T93,"")</x:f>
        <x:v>0</x:v>
      </x:c>
      <x:c r="AB93" s="307" t="n">
        <x:f>IF('作業計画'!$H93="テスト",'作業計画'!U93,"")</x:f>
        <x:v>0</x:v>
      </x:c>
      <x:c r="AC93" s="291" t="str">
        <x:f>IF('作業計画'!$H93="テスト",'作業計画'!V93,"")</x:f>
        <x:v>予定前</x:v>
      </x:c>
      <x:c r="AD93" s="306" t="n">
        <x:f>IF('作業計画'!O93="","",'作業計画'!O93)</x:f>
        <x:v>46427</x:v>
      </x:c>
      <x:c r="AE93" s="306" t="n">
        <x:f>IF('作業計画'!P93="","",'作業計画'!P93)</x:f>
        <x:v>46428</x:v>
      </x:c>
      <x:c r="AF93" s="306" t="str">
        <x:f>IF('作業計画'!Q93="","",'作業計画'!Q93)</x:f>
      </x:c>
      <x:c r="AG93" s="306" t="str">
        <x:f>IF('作業計画'!R93="","",'作業計画'!R93)</x:f>
      </x:c>
      <x:c r="AH93" s="291" t="n">
        <x:f>'作業計画'!S93</x:f>
        <x:v>1</x:v>
      </x:c>
      <x:c r="AI93" s="291" t="n">
        <x:f>'作業計画'!T93</x:f>
        <x:v>0</x:v>
      </x:c>
      <x:c r="AJ93" s="307" t="n">
        <x:f>'作業計画'!U93</x:f>
        <x:v>0</x:v>
      </x:c>
      <x:c r="AK93" s="291" t="str">
        <x:f>'作業計画'!V93</x:f>
        <x:v>予定前</x:v>
      </x:c>
      <x:c r="AL93" s="291" t="str">
        <x:f>'作業計画'!W93</x:f>
        <x:v>57</x:v>
      </x:c>
      <x:c r="AM93" s="291" t="str">
        <x:f>'作業計画'!J93&amp;IF('作業計画'!K93="",""," / "&amp;'作業計画'!K93)&amp;IF('作業計画'!L93="",""," / "&amp;'作業計画'!L93)</x:f>
        <x:v>00086</x:v>
      </x:c>
      <x:c r="AN93" s="253" t="str">
        <x:f>'作業計画'!Y93</x:f>
        <x:v>差分対象・更新順・Watermark連動の証跡</x:v>
      </x:c>
      <x:c r="AO93" s="253" t="str">
        <x:f>IF('作業計画'!Z93="","",'作業計画'!Z93)</x:f>
      </x:c>
      <x:c r="AP93" s="254" t="str">
        <x:f>'作業計画'!X93</x:f>
        <x:v>原資料展開</x:v>
      </x:c>
    </x:row>
    <x:row r="94" ht="54" customHeight="1">
      <x:c r="A94" s="457" t="str">
        <x:f>'作業計画'!A94</x:f>
        <x:v>00088</x:v>
      </x:c>
      <x:c r="B94" s="334" t="str">
        <x:f>'作業計画'!B94</x:f>
        <x:v>06.結合テスト</x:v>
      </x:c>
      <x:c r="C94" s="250" t="str">
        <x:f>'作業計画'!C94</x:f>
        <x:v>結合シナリオ：再実行・重複・更新順確認</x:v>
      </x:c>
      <x:c r="D94" s="250" t="str">
        <x:f>'作業計画'!D94</x:f>
        <x:v>テスト担当（要確定）</x:v>
      </x:c>
      <x:c r="E94" s="250" t="str">
        <x:f>'作業計画'!E94</x:f>
        <x:v>Fabric／Dataverse</x:v>
      </x:c>
      <x:c r="F94" s="289" t="str">
        <x:f>'作業計画'!F94</x:f>
        <x:v>2.中</x:v>
      </x:c>
      <x:c r="G94" s="289" t="str">
        <x:f>'作業計画'!G94</x:f>
        <x:v>00.未確認</x:v>
      </x:c>
      <x:c r="H94" s="304" t="str">
        <x:f>IF('作業計画'!$H94="設計",IF('作業計画'!O94="","",'作業計画'!O94),"")</x:f>
      </x:c>
      <x:c r="I94" s="304" t="str">
        <x:f>IF('作業計画'!$H94="設計",IF('作業計画'!P94="","",'作業計画'!P94),"")</x:f>
      </x:c>
      <x:c r="J94" s="304" t="str">
        <x:f>IF('作業計画'!$H94="設計",IF('作業計画'!Q94="","",'作業計画'!Q94),"")</x:f>
      </x:c>
      <x:c r="K94" s="304" t="str">
        <x:f>IF('作業計画'!$H94="設計",IF('作業計画'!R94="","",'作業計画'!R94),"")</x:f>
      </x:c>
      <x:c r="L94" s="305" t="str">
        <x:f>IF('作業計画'!$H94="設計",'作業計画'!U94,"")</x:f>
      </x:c>
      <x:c r="M94" s="289" t="str">
        <x:f>IF('作業計画'!$H94="設計",'作業計画'!V94,"")</x:f>
      </x:c>
      <x:c r="N94" s="304" t="str">
        <x:f>IF('作業計画'!$H94="開発",IF('作業計画'!O94="","",'作業計画'!O94),"")</x:f>
      </x:c>
      <x:c r="O94" s="304" t="str">
        <x:f>IF('作業計画'!$H94="開発",IF('作業計画'!P94="","",'作業計画'!P94),"")</x:f>
      </x:c>
      <x:c r="P94" s="304" t="str">
        <x:f>IF('作業計画'!$H94="開発",IF('作業計画'!Q94="","",'作業計画'!Q94),"")</x:f>
      </x:c>
      <x:c r="Q94" s="304" t="str">
        <x:f>IF('作業計画'!$H94="開発",IF('作業計画'!R94="","",'作業計画'!R94),"")</x:f>
      </x:c>
      <x:c r="R94" s="289" t="str">
        <x:f>IF('作業計画'!$H94="開発",'作業計画'!S94,"")</x:f>
      </x:c>
      <x:c r="S94" s="289" t="str">
        <x:f>IF('作業計画'!$H94="開発",'作業計画'!T94,"")</x:f>
      </x:c>
      <x:c r="T94" s="305" t="str">
        <x:f>IF('作業計画'!$H94="開発",'作業計画'!U94,"")</x:f>
      </x:c>
      <x:c r="U94" s="289" t="str">
        <x:f>IF('作業計画'!$H94="開発",'作業計画'!V94,"")</x:f>
      </x:c>
      <x:c r="V94" s="304" t="n">
        <x:f>IF('作業計画'!$H94="テスト",IF('作業計画'!O94="","",'作業計画'!O94),"")</x:f>
        <x:v>46429</x:v>
      </x:c>
      <x:c r="W94" s="304" t="n">
        <x:f>IF('作業計画'!$H94="テスト",IF('作業計画'!P94="","",'作業計画'!P94),"")</x:f>
        <x:v>46430</x:v>
      </x:c>
      <x:c r="X94" s="304" t="str">
        <x:f>IF('作業計画'!$H94="テスト",IF('作業計画'!Q94="","",'作業計画'!Q94),"")</x:f>
      </x:c>
      <x:c r="Y94" s="304" t="str">
        <x:f>IF('作業計画'!$H94="テスト",IF('作業計画'!R94="","",'作業計画'!R94),"")</x:f>
      </x:c>
      <x:c r="Z94" s="289" t="n">
        <x:f>IF('作業計画'!$H94="テスト",'作業計画'!S94,"")</x:f>
        <x:v>1</x:v>
      </x:c>
      <x:c r="AA94" s="289" t="n">
        <x:f>IF('作業計画'!$H94="テスト",'作業計画'!T94,"")</x:f>
        <x:v>0</x:v>
      </x:c>
      <x:c r="AB94" s="305" t="n">
        <x:f>IF('作業計画'!$H94="テスト",'作業計画'!U94,"")</x:f>
        <x:v>0</x:v>
      </x:c>
      <x:c r="AC94" s="289" t="str">
        <x:f>IF('作業計画'!$H94="テスト",'作業計画'!V94,"")</x:f>
        <x:v>予定前</x:v>
      </x:c>
      <x:c r="AD94" s="304" t="n">
        <x:f>IF('作業計画'!O94="","",'作業計画'!O94)</x:f>
        <x:v>46429</x:v>
      </x:c>
      <x:c r="AE94" s="304" t="n">
        <x:f>IF('作業計画'!P94="","",'作業計画'!P94)</x:f>
        <x:v>46430</x:v>
      </x:c>
      <x:c r="AF94" s="304" t="str">
        <x:f>IF('作業計画'!Q94="","",'作業計画'!Q94)</x:f>
      </x:c>
      <x:c r="AG94" s="304" t="str">
        <x:f>IF('作業計画'!R94="","",'作業計画'!R94)</x:f>
      </x:c>
      <x:c r="AH94" s="289" t="n">
        <x:f>'作業計画'!S94</x:f>
        <x:v>1</x:v>
      </x:c>
      <x:c r="AI94" s="289" t="n">
        <x:f>'作業計画'!T94</x:f>
        <x:v>0</x:v>
      </x:c>
      <x:c r="AJ94" s="305" t="n">
        <x:f>'作業計画'!U94</x:f>
        <x:v>0</x:v>
      </x:c>
      <x:c r="AK94" s="289" t="str">
        <x:f>'作業計画'!V94</x:f>
        <x:v>予定前</x:v>
      </x:c>
      <x:c r="AL94" s="289" t="str">
        <x:f>'作業計画'!W94</x:f>
        <x:v>57</x:v>
      </x:c>
      <x:c r="AM94" s="289" t="str">
        <x:f>'作業計画'!J94&amp;IF('作業計画'!K94="",""," / "&amp;'作業計画'!K94)&amp;IF('作業計画'!L94="",""," / "&amp;'作業計画'!L94)</x:f>
        <x:v>00087</x:v>
      </x:c>
      <x:c r="AN94" s="250" t="str">
        <x:f>'作業計画'!Y94</x:f>
        <x:v>再実行時の一致性・重複防止・順序の確認</x:v>
      </x:c>
      <x:c r="AO94" s="250" t="str">
        <x:f>IF('作業計画'!Z94="","",'作業計画'!Z94)</x:f>
      </x:c>
      <x:c r="AP94" s="251" t="str">
        <x:f>'作業計画'!X94</x:f>
        <x:v>原資料展開</x:v>
      </x:c>
    </x:row>
    <x:row r="95" ht="54" customHeight="1">
      <x:c r="A95" s="458" t="str">
        <x:f>'作業計画'!A95</x:f>
        <x:v>00089</x:v>
      </x:c>
      <x:c r="B95" s="334" t="str">
        <x:f>'作業計画'!B95</x:f>
        <x:v>06.結合テスト</x:v>
      </x:c>
      <x:c r="C95" s="253" t="str">
        <x:f>'作業計画'!C95</x:f>
        <x:v>例外対応：異常検知・メール通知確認</x:v>
      </x:c>
      <x:c r="D95" s="253" t="str">
        <x:f>'作業計画'!D95</x:f>
        <x:v>テスト／運用担当（要確定）</x:v>
      </x:c>
      <x:c r="E95" s="253" t="str">
        <x:f>'作業計画'!E95</x:f>
        <x:v>Fabric／メール</x:v>
      </x:c>
      <x:c r="F95" s="291" t="str">
        <x:f>'作業計画'!F95</x:f>
        <x:v>2.中</x:v>
      </x:c>
      <x:c r="G95" s="291" t="str">
        <x:f>'作業計画'!G95</x:f>
        <x:v>00.未確認</x:v>
      </x:c>
      <x:c r="H95" s="306" t="str">
        <x:f>IF('作業計画'!$H95="設計",IF('作業計画'!O95="","",'作業計画'!O95),"")</x:f>
      </x:c>
      <x:c r="I95" s="306" t="str">
        <x:f>IF('作業計画'!$H95="設計",IF('作業計画'!P95="","",'作業計画'!P95),"")</x:f>
      </x:c>
      <x:c r="J95" s="306" t="str">
        <x:f>IF('作業計画'!$H95="設計",IF('作業計画'!Q95="","",'作業計画'!Q95),"")</x:f>
      </x:c>
      <x:c r="K95" s="306" t="str">
        <x:f>IF('作業計画'!$H95="設計",IF('作業計画'!R95="","",'作業計画'!R95),"")</x:f>
      </x:c>
      <x:c r="L95" s="307" t="str">
        <x:f>IF('作業計画'!$H95="設計",'作業計画'!U95,"")</x:f>
      </x:c>
      <x:c r="M95" s="291" t="str">
        <x:f>IF('作業計画'!$H95="設計",'作業計画'!V95,"")</x:f>
      </x:c>
      <x:c r="N95" s="306" t="str">
        <x:f>IF('作業計画'!$H95="開発",IF('作業計画'!O95="","",'作業計画'!O95),"")</x:f>
      </x:c>
      <x:c r="O95" s="306" t="str">
        <x:f>IF('作業計画'!$H95="開発",IF('作業計画'!P95="","",'作業計画'!P95),"")</x:f>
      </x:c>
      <x:c r="P95" s="306" t="str">
        <x:f>IF('作業計画'!$H95="開発",IF('作業計画'!Q95="","",'作業計画'!Q95),"")</x:f>
      </x:c>
      <x:c r="Q95" s="306" t="str">
        <x:f>IF('作業計画'!$H95="開発",IF('作業計画'!R95="","",'作業計画'!R95),"")</x:f>
      </x:c>
      <x:c r="R95" s="291" t="str">
        <x:f>IF('作業計画'!$H95="開発",'作業計画'!S95,"")</x:f>
      </x:c>
      <x:c r="S95" s="291" t="str">
        <x:f>IF('作業計画'!$H95="開発",'作業計画'!T95,"")</x:f>
      </x:c>
      <x:c r="T95" s="307" t="str">
        <x:f>IF('作業計画'!$H95="開発",'作業計画'!U95,"")</x:f>
      </x:c>
      <x:c r="U95" s="291" t="str">
        <x:f>IF('作業計画'!$H95="開発",'作業計画'!V95,"")</x:f>
      </x:c>
      <x:c r="V95" s="306" t="n">
        <x:f>IF('作業計画'!$H95="テスト",IF('作業計画'!O95="","",'作業計画'!O95),"")</x:f>
        <x:v>46433</x:v>
      </x:c>
      <x:c r="W95" s="306" t="n">
        <x:f>IF('作業計画'!$H95="テスト",IF('作業計画'!P95="","",'作業計画'!P95),"")</x:f>
        <x:v>46434</x:v>
      </x:c>
      <x:c r="X95" s="306" t="str">
        <x:f>IF('作業計画'!$H95="テスト",IF('作業計画'!Q95="","",'作業計画'!Q95),"")</x:f>
      </x:c>
      <x:c r="Y95" s="306" t="str">
        <x:f>IF('作業計画'!$H95="テスト",IF('作業計画'!R95="","",'作業計画'!R95),"")</x:f>
      </x:c>
      <x:c r="Z95" s="291" t="n">
        <x:f>IF('作業計画'!$H95="テスト",'作業計画'!S95,"")</x:f>
        <x:v>1</x:v>
      </x:c>
      <x:c r="AA95" s="291" t="n">
        <x:f>IF('作業計画'!$H95="テスト",'作業計画'!T95,"")</x:f>
        <x:v>0</x:v>
      </x:c>
      <x:c r="AB95" s="307" t="n">
        <x:f>IF('作業計画'!$H95="テスト",'作業計画'!U95,"")</x:f>
        <x:v>0</x:v>
      </x:c>
      <x:c r="AC95" s="291" t="str">
        <x:f>IF('作業計画'!$H95="テスト",'作業計画'!V95,"")</x:f>
        <x:v>予定前</x:v>
      </x:c>
      <x:c r="AD95" s="306" t="n">
        <x:f>IF('作業計画'!O95="","",'作業計画'!O95)</x:f>
        <x:v>46433</x:v>
      </x:c>
      <x:c r="AE95" s="306" t="n">
        <x:f>IF('作業計画'!P95="","",'作業計画'!P95)</x:f>
        <x:v>46434</x:v>
      </x:c>
      <x:c r="AF95" s="306" t="str">
        <x:f>IF('作業計画'!Q95="","",'作業計画'!Q95)</x:f>
      </x:c>
      <x:c r="AG95" s="306" t="str">
        <x:f>IF('作業計画'!R95="","",'作業計画'!R95)</x:f>
      </x:c>
      <x:c r="AH95" s="291" t="n">
        <x:f>'作業計画'!S95</x:f>
        <x:v>1</x:v>
      </x:c>
      <x:c r="AI95" s="291" t="n">
        <x:f>'作業計画'!T95</x:f>
        <x:v>0</x:v>
      </x:c>
      <x:c r="AJ95" s="307" t="n">
        <x:f>'作業計画'!U95</x:f>
        <x:v>0</x:v>
      </x:c>
      <x:c r="AK95" s="291" t="str">
        <x:f>'作業計画'!V95</x:f>
        <x:v>予定前</x:v>
      </x:c>
      <x:c r="AL95" s="291" t="str">
        <x:f>'作業計画'!W95</x:f>
        <x:v>58</x:v>
      </x:c>
      <x:c r="AM95" s="291" t="str">
        <x:f>'作業計画'!J95&amp;IF('作業計画'!K95="",""," / "&amp;'作業計画'!K95)&amp;IF('作業計画'!L95="",""," / "&amp;'作業計画'!L95)</x:f>
        <x:v>00088 / 00007</x:v>
      </x:c>
      <x:c r="AN95" s="253" t="str">
        <x:f>'作業計画'!Y95</x:f>
        <x:v>接続・データ・処理異常時の通知内容と宛先確認</x:v>
      </x:c>
      <x:c r="AO95" s="253" t="str">
        <x:f>IF('作業計画'!Z95="","",'作業計画'!Z95)</x:f>
      </x:c>
      <x:c r="AP95" s="254" t="str">
        <x:f>'作業計画'!X95</x:f>
        <x:v>原資料展開</x:v>
      </x:c>
    </x:row>
    <x:row r="96" ht="54" customHeight="1">
      <x:c r="A96" s="457" t="str">
        <x:f>'作業計画'!A96</x:f>
        <x:v>00090</x:v>
      </x:c>
      <x:c r="B96" s="334" t="str">
        <x:f>'作業計画'!B96</x:f>
        <x:v>06.結合テスト</x:v>
      </x:c>
      <x:c r="C96" s="250" t="str">
        <x:f>'作業計画'!C96</x:f>
        <x:v>例外対応：復旧・部分失敗・再開確認</x:v>
      </x:c>
      <x:c r="D96" s="250" t="str">
        <x:f>'作業計画'!D96</x:f>
        <x:v>テスト／運用担当（要確定）</x:v>
      </x:c>
      <x:c r="E96" s="250" t="str">
        <x:f>'作業計画'!E96</x:f>
        <x:v>Fabric／Dataverse</x:v>
      </x:c>
      <x:c r="F96" s="289" t="str">
        <x:f>'作業計画'!F96</x:f>
        <x:v>2.中</x:v>
      </x:c>
      <x:c r="G96" s="289" t="str">
        <x:f>'作業計画'!G96</x:f>
        <x:v>00.未確認</x:v>
      </x:c>
      <x:c r="H96" s="304" t="str">
        <x:f>IF('作業計画'!$H96="設計",IF('作業計画'!O96="","",'作業計画'!O96),"")</x:f>
      </x:c>
      <x:c r="I96" s="304" t="str">
        <x:f>IF('作業計画'!$H96="設計",IF('作業計画'!P96="","",'作業計画'!P96),"")</x:f>
      </x:c>
      <x:c r="J96" s="304" t="str">
        <x:f>IF('作業計画'!$H96="設計",IF('作業計画'!Q96="","",'作業計画'!Q96),"")</x:f>
      </x:c>
      <x:c r="K96" s="304" t="str">
        <x:f>IF('作業計画'!$H96="設計",IF('作業計画'!R96="","",'作業計画'!R96),"")</x:f>
      </x:c>
      <x:c r="L96" s="305" t="str">
        <x:f>IF('作業計画'!$H96="設計",'作業計画'!U96,"")</x:f>
      </x:c>
      <x:c r="M96" s="289" t="str">
        <x:f>IF('作業計画'!$H96="設計",'作業計画'!V96,"")</x:f>
      </x:c>
      <x:c r="N96" s="304" t="str">
        <x:f>IF('作業計画'!$H96="開発",IF('作業計画'!O96="","",'作業計画'!O96),"")</x:f>
      </x:c>
      <x:c r="O96" s="304" t="str">
        <x:f>IF('作業計画'!$H96="開発",IF('作業計画'!P96="","",'作業計画'!P96),"")</x:f>
      </x:c>
      <x:c r="P96" s="304" t="str">
        <x:f>IF('作業計画'!$H96="開発",IF('作業計画'!Q96="","",'作業計画'!Q96),"")</x:f>
      </x:c>
      <x:c r="Q96" s="304" t="str">
        <x:f>IF('作業計画'!$H96="開発",IF('作業計画'!R96="","",'作業計画'!R96),"")</x:f>
      </x:c>
      <x:c r="R96" s="289" t="str">
        <x:f>IF('作業計画'!$H96="開発",'作業計画'!S96,"")</x:f>
      </x:c>
      <x:c r="S96" s="289" t="str">
        <x:f>IF('作業計画'!$H96="開発",'作業計画'!T96,"")</x:f>
      </x:c>
      <x:c r="T96" s="305" t="str">
        <x:f>IF('作業計画'!$H96="開発",'作業計画'!U96,"")</x:f>
      </x:c>
      <x:c r="U96" s="289" t="str">
        <x:f>IF('作業計画'!$H96="開発",'作業計画'!V96,"")</x:f>
      </x:c>
      <x:c r="V96" s="304" t="n">
        <x:f>IF('作業計画'!$H96="テスト",IF('作業計画'!O96="","",'作業計画'!O96),"")</x:f>
        <x:v>46435</x:v>
      </x:c>
      <x:c r="W96" s="304" t="n">
        <x:f>IF('作業計画'!$H96="テスト",IF('作業計画'!P96="","",'作業計画'!P96),"")</x:f>
        <x:v>46436</x:v>
      </x:c>
      <x:c r="X96" s="304" t="str">
        <x:f>IF('作業計画'!$H96="テスト",IF('作業計画'!Q96="","",'作業計画'!Q96),"")</x:f>
      </x:c>
      <x:c r="Y96" s="304" t="str">
        <x:f>IF('作業計画'!$H96="テスト",IF('作業計画'!R96="","",'作業計画'!R96),"")</x:f>
      </x:c>
      <x:c r="Z96" s="289" t="n">
        <x:f>IF('作業計画'!$H96="テスト",'作業計画'!S96,"")</x:f>
        <x:v>1</x:v>
      </x:c>
      <x:c r="AA96" s="289" t="n">
        <x:f>IF('作業計画'!$H96="テスト",'作業計画'!T96,"")</x:f>
        <x:v>0</x:v>
      </x:c>
      <x:c r="AB96" s="305" t="n">
        <x:f>IF('作業計画'!$H96="テスト",'作業計画'!U96,"")</x:f>
        <x:v>0</x:v>
      </x:c>
      <x:c r="AC96" s="289" t="str">
        <x:f>IF('作業計画'!$H96="テスト",'作業計画'!V96,"")</x:f>
        <x:v>予定前</x:v>
      </x:c>
      <x:c r="AD96" s="304" t="n">
        <x:f>IF('作業計画'!O96="","",'作業計画'!O96)</x:f>
        <x:v>46435</x:v>
      </x:c>
      <x:c r="AE96" s="304" t="n">
        <x:f>IF('作業計画'!P96="","",'作業計画'!P96)</x:f>
        <x:v>46436</x:v>
      </x:c>
      <x:c r="AF96" s="304" t="str">
        <x:f>IF('作業計画'!Q96="","",'作業計画'!Q96)</x:f>
      </x:c>
      <x:c r="AG96" s="304" t="str">
        <x:f>IF('作業計画'!R96="","",'作業計画'!R96)</x:f>
      </x:c>
      <x:c r="AH96" s="289" t="n">
        <x:f>'作業計画'!S96</x:f>
        <x:v>1</x:v>
      </x:c>
      <x:c r="AI96" s="289" t="n">
        <x:f>'作業計画'!T96</x:f>
        <x:v>0</x:v>
      </x:c>
      <x:c r="AJ96" s="305" t="n">
        <x:f>'作業計画'!U96</x:f>
        <x:v>0</x:v>
      </x:c>
      <x:c r="AK96" s="289" t="str">
        <x:f>'作業計画'!V96</x:f>
        <x:v>予定前</x:v>
      </x:c>
      <x:c r="AL96" s="289" t="str">
        <x:f>'作業計画'!W96</x:f>
        <x:v>58</x:v>
      </x:c>
      <x:c r="AM96" s="289" t="str">
        <x:f>'作業計画'!J96&amp;IF('作業計画'!K96="",""," / "&amp;'作業計画'!K96)&amp;IF('作業計画'!L96="",""," / "&amp;'作業計画'!L96)</x:f>
        <x:v>00089</x:v>
      </x:c>
      <x:c r="AN96" s="250" t="str">
        <x:f>'作業計画'!Y96</x:f>
        <x:v>部分失敗からの復旧手順・整合性の確認</x:v>
      </x:c>
      <x:c r="AO96" s="250" t="str">
        <x:f>IF('作業計画'!Z96="","",'作業計画'!Z96)</x:f>
      </x:c>
      <x:c r="AP96" s="251" t="str">
        <x:f>'作業計画'!X96</x:f>
        <x:v>原資料展開</x:v>
      </x:c>
    </x:row>
    <x:row r="97" ht="54" customHeight="1">
      <x:c r="A97" s="458" t="str">
        <x:f>'作業計画'!A97</x:f>
        <x:v>00091</x:v>
      </x:c>
      <x:c r="B97" s="334" t="str">
        <x:f>'作業計画'!B97</x:f>
        <x:v>06.結合テスト</x:v>
      </x:c>
      <x:c r="C97" s="253" t="str">
        <x:f>'作業計画'!C97</x:f>
        <x:v>結合不具合再確認・UAT移行判定</x:v>
      </x:c>
      <x:c r="D97" s="253" t="str">
        <x:f>'作業計画'!D97</x:f>
        <x:v>品質／業務担当（要確定）</x:v>
      </x:c>
      <x:c r="E97" s="253" t="str">
        <x:f>'作業計画'!E97</x:f>
        <x:v>Fabric</x:v>
      </x:c>
      <x:c r="F97" s="291" t="str">
        <x:f>'作業計画'!F97</x:f>
        <x:v>1.高</x:v>
      </x:c>
      <x:c r="G97" s="291" t="str">
        <x:f>'作業計画'!G97</x:f>
        <x:v>00.未確認</x:v>
      </x:c>
      <x:c r="H97" s="306" t="str">
        <x:f>IF('作業計画'!$H97="設計",IF('作業計画'!O97="","",'作業計画'!O97),"")</x:f>
      </x:c>
      <x:c r="I97" s="306" t="str">
        <x:f>IF('作業計画'!$H97="設計",IF('作業計画'!P97="","",'作業計画'!P97),"")</x:f>
      </x:c>
      <x:c r="J97" s="306" t="str">
        <x:f>IF('作業計画'!$H97="設計",IF('作業計画'!Q97="","",'作業計画'!Q97),"")</x:f>
      </x:c>
      <x:c r="K97" s="306" t="str">
        <x:f>IF('作業計画'!$H97="設計",IF('作業計画'!R97="","",'作業計画'!R97),"")</x:f>
      </x:c>
      <x:c r="L97" s="307" t="str">
        <x:f>IF('作業計画'!$H97="設計",'作業計画'!U97,"")</x:f>
      </x:c>
      <x:c r="M97" s="291" t="str">
        <x:f>IF('作業計画'!$H97="設計",'作業計画'!V97,"")</x:f>
      </x:c>
      <x:c r="N97" s="306" t="str">
        <x:f>IF('作業計画'!$H97="開発",IF('作業計画'!O97="","",'作業計画'!O97),"")</x:f>
      </x:c>
      <x:c r="O97" s="306" t="str">
        <x:f>IF('作業計画'!$H97="開発",IF('作業計画'!P97="","",'作業計画'!P97),"")</x:f>
      </x:c>
      <x:c r="P97" s="306" t="str">
        <x:f>IF('作業計画'!$H97="開発",IF('作業計画'!Q97="","",'作業計画'!Q97),"")</x:f>
      </x:c>
      <x:c r="Q97" s="306" t="str">
        <x:f>IF('作業計画'!$H97="開発",IF('作業計画'!R97="","",'作業計画'!R97),"")</x:f>
      </x:c>
      <x:c r="R97" s="291" t="str">
        <x:f>IF('作業計画'!$H97="開発",'作業計画'!S97,"")</x:f>
      </x:c>
      <x:c r="S97" s="291" t="str">
        <x:f>IF('作業計画'!$H97="開発",'作業計画'!T97,"")</x:f>
      </x:c>
      <x:c r="T97" s="307" t="str">
        <x:f>IF('作業計画'!$H97="開発",'作業計画'!U97,"")</x:f>
      </x:c>
      <x:c r="U97" s="291" t="str">
        <x:f>IF('作業計画'!$H97="開発",'作業計画'!V97,"")</x:f>
      </x:c>
      <x:c r="V97" s="306" t="n">
        <x:f>IF('作業計画'!$H97="テスト",IF('作業計画'!O97="","",'作業計画'!O97),"")</x:f>
        <x:v>46437</x:v>
      </x:c>
      <x:c r="W97" s="306" t="n">
        <x:f>IF('作業計画'!$H97="テスト",IF('作業計画'!P97="","",'作業計画'!P97),"")</x:f>
        <x:v>46441</x:v>
      </x:c>
      <x:c r="X97" s="306" t="str">
        <x:f>IF('作業計画'!$H97="テスト",IF('作業計画'!Q97="","",'作業計画'!Q97),"")</x:f>
      </x:c>
      <x:c r="Y97" s="306" t="str">
        <x:f>IF('作業計画'!$H97="テスト",IF('作業計画'!R97="","",'作業計画'!R97),"")</x:f>
      </x:c>
      <x:c r="Z97" s="291" t="n">
        <x:f>IF('作業計画'!$H97="テスト",'作業計画'!S97,"")</x:f>
        <x:v>1</x:v>
      </x:c>
      <x:c r="AA97" s="291" t="n">
        <x:f>IF('作業計画'!$H97="テスト",'作業計画'!T97,"")</x:f>
        <x:v>0</x:v>
      </x:c>
      <x:c r="AB97" s="307" t="n">
        <x:f>IF('作業計画'!$H97="テスト",'作業計画'!U97,"")</x:f>
        <x:v>0</x:v>
      </x:c>
      <x:c r="AC97" s="291" t="str">
        <x:f>IF('作業計画'!$H97="テスト",'作業計画'!V97,"")</x:f>
        <x:v>予定前</x:v>
      </x:c>
      <x:c r="AD97" s="306" t="n">
        <x:f>IF('作業計画'!O97="","",'作業計画'!O97)</x:f>
        <x:v>46437</x:v>
      </x:c>
      <x:c r="AE97" s="306" t="n">
        <x:f>IF('作業計画'!P97="","",'作業計画'!P97)</x:f>
        <x:v>46441</x:v>
      </x:c>
      <x:c r="AF97" s="306" t="str">
        <x:f>IF('作業計画'!Q97="","",'作業計画'!Q97)</x:f>
      </x:c>
      <x:c r="AG97" s="306" t="str">
        <x:f>IF('作業計画'!R97="","",'作業計画'!R97)</x:f>
      </x:c>
      <x:c r="AH97" s="291" t="n">
        <x:f>'作業計画'!S97</x:f>
        <x:v>1</x:v>
      </x:c>
      <x:c r="AI97" s="291" t="n">
        <x:f>'作業計画'!T97</x:f>
        <x:v>0</x:v>
      </x:c>
      <x:c r="AJ97" s="307" t="n">
        <x:f>'作業計画'!U97</x:f>
        <x:v>0</x:v>
      </x:c>
      <x:c r="AK97" s="291" t="str">
        <x:f>'作業計画'!V97</x:f>
        <x:v>予定前</x:v>
      </x:c>
      <x:c r="AL97" s="291" t="str">
        <x:f>'作業計画'!W97</x:f>
        <x:v>54／55／56／57／58</x:v>
      </x:c>
      <x:c r="AM97" s="291" t="str">
        <x:f>'作業計画'!J97&amp;IF('作業計画'!K97="",""," / "&amp;'作業計画'!K97)&amp;IF('作業計画'!L97="",""," / "&amp;'作業計画'!L97)</x:f>
        <x:v>00090</x:v>
      </x:c>
      <x:c r="AN97" s="253" t="str">
        <x:f>'作業計画'!Y97</x:f>
        <x:v>修正後再試験・残課題・UAT開始の判定記録</x:v>
      </x:c>
      <x:c r="AO97" s="253" t="str">
        <x:f>IF('作業計画'!Z97="","",'作業計画'!Z97)</x:f>
      </x:c>
      <x:c r="AP97" s="254" t="str">
        <x:f>'作業計画'!X97</x:f>
        <x:v>補足（テスト完了判定）</x:v>
      </x:c>
    </x:row>
    <x:row r="98" ht="54" customHeight="1">
      <x:c r="A98" s="457" t="str">
        <x:f>'作業計画'!A98</x:f>
        <x:v>00092</x:v>
      </x:c>
      <x:c r="B98" s="336" t="str">
        <x:f>'作業計画'!B98</x:f>
        <x:v>07.UAT</x:v>
      </x:c>
      <x:c r="C98" s="250" t="str">
        <x:f>'作業計画'!C98</x:f>
        <x:v>UATシナリオ・利用者・判定基準の準備</x:v>
      </x:c>
      <x:c r="D98" s="250" t="str">
        <x:f>'作業計画'!D98</x:f>
        <x:v>業務／UAT担当（要確定）</x:v>
      </x:c>
      <x:c r="E98" s="250" t="str">
        <x:f>'作業計画'!E98</x:f>
        <x:v>Fabric</x:v>
      </x:c>
      <x:c r="F98" s="289" t="str">
        <x:f>'作業計画'!F98</x:f>
        <x:v>2.中</x:v>
      </x:c>
      <x:c r="G98" s="289" t="str">
        <x:f>'作業計画'!G98</x:f>
        <x:v>00.未確認</x:v>
      </x:c>
      <x:c r="H98" s="304" t="str">
        <x:f>IF('作業計画'!$H98="設計",IF('作業計画'!O98="","",'作業計画'!O98),"")</x:f>
      </x:c>
      <x:c r="I98" s="304" t="str">
        <x:f>IF('作業計画'!$H98="設計",IF('作業計画'!P98="","",'作業計画'!P98),"")</x:f>
      </x:c>
      <x:c r="J98" s="304" t="str">
        <x:f>IF('作業計画'!$H98="設計",IF('作業計画'!Q98="","",'作業計画'!Q98),"")</x:f>
      </x:c>
      <x:c r="K98" s="304" t="str">
        <x:f>IF('作業計画'!$H98="設計",IF('作業計画'!R98="","",'作業計画'!R98),"")</x:f>
      </x:c>
      <x:c r="L98" s="305" t="str">
        <x:f>IF('作業計画'!$H98="設計",'作業計画'!U98,"")</x:f>
      </x:c>
      <x:c r="M98" s="289" t="str">
        <x:f>IF('作業計画'!$H98="設計",'作業計画'!V98,"")</x:f>
      </x:c>
      <x:c r="N98" s="304" t="str">
        <x:f>IF('作業計画'!$H98="開発",IF('作業計画'!O98="","",'作業計画'!O98),"")</x:f>
      </x:c>
      <x:c r="O98" s="304" t="str">
        <x:f>IF('作業計画'!$H98="開発",IF('作業計画'!P98="","",'作業計画'!P98),"")</x:f>
      </x:c>
      <x:c r="P98" s="304" t="str">
        <x:f>IF('作業計画'!$H98="開発",IF('作業計画'!Q98="","",'作業計画'!Q98),"")</x:f>
      </x:c>
      <x:c r="Q98" s="304" t="str">
        <x:f>IF('作業計画'!$H98="開発",IF('作業計画'!R98="","",'作業計画'!R98),"")</x:f>
      </x:c>
      <x:c r="R98" s="289" t="str">
        <x:f>IF('作業計画'!$H98="開発",'作業計画'!S98,"")</x:f>
      </x:c>
      <x:c r="S98" s="289" t="str">
        <x:f>IF('作業計画'!$H98="開発",'作業計画'!T98,"")</x:f>
      </x:c>
      <x:c r="T98" s="305" t="str">
        <x:f>IF('作業計画'!$H98="開発",'作業計画'!U98,"")</x:f>
      </x:c>
      <x:c r="U98" s="289" t="str">
        <x:f>IF('作業計画'!$H98="開発",'作業計画'!V98,"")</x:f>
      </x:c>
      <x:c r="V98" s="304" t="n">
        <x:f>IF('作業計画'!$H98="テスト",IF('作業計画'!O98="","",'作業計画'!O98),"")</x:f>
        <x:v>46427</x:v>
      </x:c>
      <x:c r="W98" s="304" t="n">
        <x:f>IF('作業計画'!$H98="テスト",IF('作業計画'!P98="","",'作業計画'!P98),"")</x:f>
        <x:v>46428</x:v>
      </x:c>
      <x:c r="X98" s="304" t="str">
        <x:f>IF('作業計画'!$H98="テスト",IF('作業計画'!Q98="","",'作業計画'!Q98),"")</x:f>
      </x:c>
      <x:c r="Y98" s="304" t="str">
        <x:f>IF('作業計画'!$H98="テスト",IF('作業計画'!R98="","",'作業計画'!R98),"")</x:f>
      </x:c>
      <x:c r="Z98" s="289" t="n">
        <x:f>IF('作業計画'!$H98="テスト",'作業計画'!S98,"")</x:f>
        <x:v>1</x:v>
      </x:c>
      <x:c r="AA98" s="289" t="n">
        <x:f>IF('作業計画'!$H98="テスト",'作業計画'!T98,"")</x:f>
        <x:v>0</x:v>
      </x:c>
      <x:c r="AB98" s="305" t="n">
        <x:f>IF('作業計画'!$H98="テスト",'作業計画'!U98,"")</x:f>
        <x:v>0</x:v>
      </x:c>
      <x:c r="AC98" s="289" t="str">
        <x:f>IF('作業計画'!$H98="テスト",'作業計画'!V98,"")</x:f>
        <x:v>予定前</x:v>
      </x:c>
      <x:c r="AD98" s="304" t="n">
        <x:f>IF('作業計画'!O98="","",'作業計画'!O98)</x:f>
        <x:v>46427</x:v>
      </x:c>
      <x:c r="AE98" s="304" t="n">
        <x:f>IF('作業計画'!P98="","",'作業計画'!P98)</x:f>
        <x:v>46428</x:v>
      </x:c>
      <x:c r="AF98" s="304" t="str">
        <x:f>IF('作業計画'!Q98="","",'作業計画'!Q98)</x:f>
      </x:c>
      <x:c r="AG98" s="304" t="str">
        <x:f>IF('作業計画'!R98="","",'作業計画'!R98)</x:f>
      </x:c>
      <x:c r="AH98" s="289" t="n">
        <x:f>'作業計画'!S98</x:f>
        <x:v>1</x:v>
      </x:c>
      <x:c r="AI98" s="289" t="n">
        <x:f>'作業計画'!T98</x:f>
        <x:v>0</x:v>
      </x:c>
      <x:c r="AJ98" s="305" t="n">
        <x:f>'作業計画'!U98</x:f>
        <x:v>0</x:v>
      </x:c>
      <x:c r="AK98" s="289" t="str">
        <x:f>'作業計画'!V98</x:f>
        <x:v>予定前</x:v>
      </x:c>
      <x:c r="AL98" s="289" t="str">
        <x:f>'作業計画'!W98</x:f>
        <x:v>59／60／61／62／63</x:v>
      </x:c>
      <x:c r="AM98" s="289" t="str">
        <x:f>'作業計画'!J98&amp;IF('作業計画'!K98="",""," / "&amp;'作業計画'!K98)&amp;IF('作業計画'!L98="",""," / "&amp;'作業計画'!L98)</x:f>
        <x:v>00023 / 00086</x:v>
      </x:c>
      <x:c r="AN98" s="250" t="str">
        <x:f>'作業計画'!Y98</x:f>
        <x:v>5テーブルの業務シナリオ・実施者・判定基準</x:v>
      </x:c>
      <x:c r="AO98" s="250" t="str">
        <x:f>IF('作業計画'!Z98="","",'作業計画'!Z98)</x:f>
      </x:c>
      <x:c r="AP98" s="251" t="str">
        <x:f>'作業計画'!X98</x:f>
        <x:v>補足（UAT準備）</x:v>
      </x:c>
    </x:row>
    <x:row r="99" ht="54" customHeight="1">
      <x:c r="A99" s="458" t="str">
        <x:f>'作業計画'!A99</x:f>
        <x:v>00093</x:v>
      </x:c>
      <x:c r="B99" s="336" t="str">
        <x:f>'作業計画'!B99</x:f>
        <x:v>07.UAT</x:v>
      </x:c>
      <x:c r="C99" s="253" t="str">
        <x:f>'作業計画'!C99</x:f>
        <x:v>Product：UAT・業務受入確認</x:v>
      </x:c>
      <x:c r="D99" s="253" t="str">
        <x:f>'作業計画'!D99</x:f>
        <x:v>業務／UAT担当（要確定）</x:v>
      </x:c>
      <x:c r="E99" s="253" t="str">
        <x:f>'作業計画'!E99</x:f>
        <x:v>Dataverse／Fabric</x:v>
      </x:c>
      <x:c r="F99" s="291" t="str">
        <x:f>'作業計画'!F99</x:f>
        <x:v>2.中</x:v>
      </x:c>
      <x:c r="G99" s="291" t="str">
        <x:f>'作業計画'!G99</x:f>
        <x:v>00.未確認</x:v>
      </x:c>
      <x:c r="H99" s="306" t="str">
        <x:f>IF('作業計画'!$H99="設計",IF('作業計画'!O99="","",'作業計画'!O99),"")</x:f>
      </x:c>
      <x:c r="I99" s="306" t="str">
        <x:f>IF('作業計画'!$H99="設計",IF('作業計画'!P99="","",'作業計画'!P99),"")</x:f>
      </x:c>
      <x:c r="J99" s="306" t="str">
        <x:f>IF('作業計画'!$H99="設計",IF('作業計画'!Q99="","",'作業計画'!Q99),"")</x:f>
      </x:c>
      <x:c r="K99" s="306" t="str">
        <x:f>IF('作業計画'!$H99="設計",IF('作業計画'!R99="","",'作業計画'!R99),"")</x:f>
      </x:c>
      <x:c r="L99" s="307" t="str">
        <x:f>IF('作業計画'!$H99="設計",'作業計画'!U99,"")</x:f>
      </x:c>
      <x:c r="M99" s="291" t="str">
        <x:f>IF('作業計画'!$H99="設計",'作業計画'!V99,"")</x:f>
      </x:c>
      <x:c r="N99" s="306" t="str">
        <x:f>IF('作業計画'!$H99="開発",IF('作業計画'!O99="","",'作業計画'!O99),"")</x:f>
      </x:c>
      <x:c r="O99" s="306" t="str">
        <x:f>IF('作業計画'!$H99="開発",IF('作業計画'!P99="","",'作業計画'!P99),"")</x:f>
      </x:c>
      <x:c r="P99" s="306" t="str">
        <x:f>IF('作業計画'!$H99="開発",IF('作業計画'!Q99="","",'作業計画'!Q99),"")</x:f>
      </x:c>
      <x:c r="Q99" s="306" t="str">
        <x:f>IF('作業計画'!$H99="開発",IF('作業計画'!R99="","",'作業計画'!R99),"")</x:f>
      </x:c>
      <x:c r="R99" s="291" t="str">
        <x:f>IF('作業計画'!$H99="開発",'作業計画'!S99,"")</x:f>
      </x:c>
      <x:c r="S99" s="291" t="str">
        <x:f>IF('作業計画'!$H99="開発",'作業計画'!T99,"")</x:f>
      </x:c>
      <x:c r="T99" s="307" t="str">
        <x:f>IF('作業計画'!$H99="開発",'作業計画'!U99,"")</x:f>
      </x:c>
      <x:c r="U99" s="291" t="str">
        <x:f>IF('作業計画'!$H99="開発",'作業計画'!V99,"")</x:f>
      </x:c>
      <x:c r="V99" s="306" t="n">
        <x:f>IF('作業計画'!$H99="テスト",IF('作業計画'!O99="","",'作業計画'!O99),"")</x:f>
        <x:v>46442</x:v>
      </x:c>
      <x:c r="W99" s="306" t="n">
        <x:f>IF('作業計画'!$H99="テスト",IF('作業計画'!P99="","",'作業計画'!P99),"")</x:f>
        <x:v>46443</x:v>
      </x:c>
      <x:c r="X99" s="306" t="str">
        <x:f>IF('作業計画'!$H99="テスト",IF('作業計画'!Q99="","",'作業計画'!Q99),"")</x:f>
      </x:c>
      <x:c r="Y99" s="306" t="str">
        <x:f>IF('作業計画'!$H99="テスト",IF('作業計画'!R99="","",'作業計画'!R99),"")</x:f>
      </x:c>
      <x:c r="Z99" s="291" t="n">
        <x:f>IF('作業計画'!$H99="テスト",'作業計画'!S99,"")</x:f>
        <x:v>1</x:v>
      </x:c>
      <x:c r="AA99" s="291" t="n">
        <x:f>IF('作業計画'!$H99="テスト",'作業計画'!T99,"")</x:f>
        <x:v>0</x:v>
      </x:c>
      <x:c r="AB99" s="307" t="n">
        <x:f>IF('作業計画'!$H99="テスト",'作業計画'!U99,"")</x:f>
        <x:v>0</x:v>
      </x:c>
      <x:c r="AC99" s="291" t="str">
        <x:f>IF('作業計画'!$H99="テスト",'作業計画'!V99,"")</x:f>
        <x:v>予定前</x:v>
      </x:c>
      <x:c r="AD99" s="306" t="n">
        <x:f>IF('作業計画'!O99="","",'作業計画'!O99)</x:f>
        <x:v>46442</x:v>
      </x:c>
      <x:c r="AE99" s="306" t="n">
        <x:f>IF('作業計画'!P99="","",'作業計画'!P99)</x:f>
        <x:v>46443</x:v>
      </x:c>
      <x:c r="AF99" s="306" t="str">
        <x:f>IF('作業計画'!Q99="","",'作業計画'!Q99)</x:f>
      </x:c>
      <x:c r="AG99" s="306" t="str">
        <x:f>IF('作業計画'!R99="","",'作業計画'!R99)</x:f>
      </x:c>
      <x:c r="AH99" s="291" t="n">
        <x:f>'作業計画'!S99</x:f>
        <x:v>1</x:v>
      </x:c>
      <x:c r="AI99" s="291" t="n">
        <x:f>'作業計画'!T99</x:f>
        <x:v>0</x:v>
      </x:c>
      <x:c r="AJ99" s="307" t="n">
        <x:f>'作業計画'!U99</x:f>
        <x:v>0</x:v>
      </x:c>
      <x:c r="AK99" s="291" t="str">
        <x:f>'作業計画'!V99</x:f>
        <x:v>予定前</x:v>
      </x:c>
      <x:c r="AL99" s="291" t="str">
        <x:f>'作業計画'!W99</x:f>
        <x:v>59</x:v>
      </x:c>
      <x:c r="AM99" s="291" t="str">
        <x:f>'作業計画'!J99&amp;IF('作業計画'!K99="",""," / "&amp;'作業計画'!K99)&amp;IF('作業計画'!L99="",""," / "&amp;'作業計画'!L99)</x:f>
        <x:v>00091 / 00092</x:v>
      </x:c>
      <x:c r="AN99" s="253" t="str">
        <x:f>'作業計画'!Y99</x:f>
        <x:v>Productの受入結果・不具合記録・業務確認</x:v>
      </x:c>
      <x:c r="AO99" s="253" t="str">
        <x:f>IF('作業計画'!Z99="","",'作業計画'!Z99)</x:f>
      </x:c>
      <x:c r="AP99" s="254" t="str">
        <x:f>'作業計画'!X99</x:f>
        <x:v>原資料展開</x:v>
      </x:c>
    </x:row>
    <x:row r="100" ht="54" customHeight="1">
      <x:c r="A100" s="457" t="str">
        <x:f>'作業計画'!A100</x:f>
        <x:v>00094</x:v>
      </x:c>
      <x:c r="B100" s="336" t="str">
        <x:f>'作業計画'!B100</x:f>
        <x:v>07.UAT</x:v>
      </x:c>
      <x:c r="C100" s="250" t="str">
        <x:f>'作業計画'!C100</x:f>
        <x:v>Contact：UAT・業務受入確認</x:v>
      </x:c>
      <x:c r="D100" s="250" t="str">
        <x:f>'作業計画'!D100</x:f>
        <x:v>業務／UAT担当（要確定）</x:v>
      </x:c>
      <x:c r="E100" s="250" t="str">
        <x:f>'作業計画'!E100</x:f>
        <x:v>Dataverse／Fabric</x:v>
      </x:c>
      <x:c r="F100" s="289" t="str">
        <x:f>'作業計画'!F100</x:f>
        <x:v>2.中</x:v>
      </x:c>
      <x:c r="G100" s="289" t="str">
        <x:f>'作業計画'!G100</x:f>
        <x:v>00.未確認</x:v>
      </x:c>
      <x:c r="H100" s="304" t="str">
        <x:f>IF('作業計画'!$H100="設計",IF('作業計画'!O100="","",'作業計画'!O100),"")</x:f>
      </x:c>
      <x:c r="I100" s="304" t="str">
        <x:f>IF('作業計画'!$H100="設計",IF('作業計画'!P100="","",'作業計画'!P100),"")</x:f>
      </x:c>
      <x:c r="J100" s="304" t="str">
        <x:f>IF('作業計画'!$H100="設計",IF('作業計画'!Q100="","",'作業計画'!Q100),"")</x:f>
      </x:c>
      <x:c r="K100" s="304" t="str">
        <x:f>IF('作業計画'!$H100="設計",IF('作業計画'!R100="","",'作業計画'!R100),"")</x:f>
      </x:c>
      <x:c r="L100" s="305" t="str">
        <x:f>IF('作業計画'!$H100="設計",'作業計画'!U100,"")</x:f>
      </x:c>
      <x:c r="M100" s="289" t="str">
        <x:f>IF('作業計画'!$H100="設計",'作業計画'!V100,"")</x:f>
      </x:c>
      <x:c r="N100" s="304" t="str">
        <x:f>IF('作業計画'!$H100="開発",IF('作業計画'!O100="","",'作業計画'!O100),"")</x:f>
      </x:c>
      <x:c r="O100" s="304" t="str">
        <x:f>IF('作業計画'!$H100="開発",IF('作業計画'!P100="","",'作業計画'!P100),"")</x:f>
      </x:c>
      <x:c r="P100" s="304" t="str">
        <x:f>IF('作業計画'!$H100="開発",IF('作業計画'!Q100="","",'作業計画'!Q100),"")</x:f>
      </x:c>
      <x:c r="Q100" s="304" t="str">
        <x:f>IF('作業計画'!$H100="開発",IF('作業計画'!R100="","",'作業計画'!R100),"")</x:f>
      </x:c>
      <x:c r="R100" s="289" t="str">
        <x:f>IF('作業計画'!$H100="開発",'作業計画'!S100,"")</x:f>
      </x:c>
      <x:c r="S100" s="289" t="str">
        <x:f>IF('作業計画'!$H100="開発",'作業計画'!T100,"")</x:f>
      </x:c>
      <x:c r="T100" s="305" t="str">
        <x:f>IF('作業計画'!$H100="開発",'作業計画'!U100,"")</x:f>
      </x:c>
      <x:c r="U100" s="289" t="str">
        <x:f>IF('作業計画'!$H100="開発",'作業計画'!V100,"")</x:f>
      </x:c>
      <x:c r="V100" s="304" t="n">
        <x:f>IF('作業計画'!$H100="テスト",IF('作業計画'!O100="","",'作業計画'!O100),"")</x:f>
        <x:v>46444</x:v>
      </x:c>
      <x:c r="W100" s="304" t="n">
        <x:f>IF('作業計画'!$H100="テスト",IF('作業計画'!P100="","",'作業計画'!P100),"")</x:f>
        <x:v>46447</x:v>
      </x:c>
      <x:c r="X100" s="304" t="str">
        <x:f>IF('作業計画'!$H100="テスト",IF('作業計画'!Q100="","",'作業計画'!Q100),"")</x:f>
      </x:c>
      <x:c r="Y100" s="304" t="str">
        <x:f>IF('作業計画'!$H100="テスト",IF('作業計画'!R100="","",'作業計画'!R100),"")</x:f>
      </x:c>
      <x:c r="Z100" s="289" t="n">
        <x:f>IF('作業計画'!$H100="テスト",'作業計画'!S100,"")</x:f>
        <x:v>1</x:v>
      </x:c>
      <x:c r="AA100" s="289" t="n">
        <x:f>IF('作業計画'!$H100="テスト",'作業計画'!T100,"")</x:f>
        <x:v>0</x:v>
      </x:c>
      <x:c r="AB100" s="305" t="n">
        <x:f>IF('作業計画'!$H100="テスト",'作業計画'!U100,"")</x:f>
        <x:v>0</x:v>
      </x:c>
      <x:c r="AC100" s="289" t="str">
        <x:f>IF('作業計画'!$H100="テスト",'作業計画'!V100,"")</x:f>
        <x:v>予定前</x:v>
      </x:c>
      <x:c r="AD100" s="304" t="n">
        <x:f>IF('作業計画'!O100="","",'作業計画'!O100)</x:f>
        <x:v>46444</x:v>
      </x:c>
      <x:c r="AE100" s="304" t="n">
        <x:f>IF('作業計画'!P100="","",'作業計画'!P100)</x:f>
        <x:v>46447</x:v>
      </x:c>
      <x:c r="AF100" s="304" t="str">
        <x:f>IF('作業計画'!Q100="","",'作業計画'!Q100)</x:f>
      </x:c>
      <x:c r="AG100" s="304" t="str">
        <x:f>IF('作業計画'!R100="","",'作業計画'!R100)</x:f>
      </x:c>
      <x:c r="AH100" s="289" t="n">
        <x:f>'作業計画'!S100</x:f>
        <x:v>1</x:v>
      </x:c>
      <x:c r="AI100" s="289" t="n">
        <x:f>'作業計画'!T100</x:f>
        <x:v>0</x:v>
      </x:c>
      <x:c r="AJ100" s="305" t="n">
        <x:f>'作業計画'!U100</x:f>
        <x:v>0</x:v>
      </x:c>
      <x:c r="AK100" s="289" t="str">
        <x:f>'作業計画'!V100</x:f>
        <x:v>予定前</x:v>
      </x:c>
      <x:c r="AL100" s="289" t="str">
        <x:f>'作業計画'!W100</x:f>
        <x:v>60</x:v>
      </x:c>
      <x:c r="AM100" s="289" t="str">
        <x:f>'作業計画'!J100&amp;IF('作業計画'!K100="",""," / "&amp;'作業計画'!K100)&amp;IF('作業計画'!L100="",""," / "&amp;'作業計画'!L100)</x:f>
        <x:v>00093 / 00092</x:v>
      </x:c>
      <x:c r="AN100" s="250" t="str">
        <x:f>'作業計画'!Y100</x:f>
        <x:v>Contactの受入結果・不具合記録・業務確認</x:v>
      </x:c>
      <x:c r="AO100" s="250" t="str">
        <x:f>IF('作業計画'!Z100="","",'作業計画'!Z100)</x:f>
      </x:c>
      <x:c r="AP100" s="251" t="str">
        <x:f>'作業計画'!X100</x:f>
        <x:v>原資料展開</x:v>
      </x:c>
    </x:row>
    <x:row r="101" ht="54" customHeight="1">
      <x:c r="A101" s="458" t="str">
        <x:f>'作業計画'!A101</x:f>
        <x:v>00095</x:v>
      </x:c>
      <x:c r="B101" s="336" t="str">
        <x:f>'作業計画'!B101</x:f>
        <x:v>07.UAT</x:v>
      </x:c>
      <x:c r="C101" s="253" t="str">
        <x:f>'作業計画'!C101</x:f>
        <x:v>Account：UAT・業務受入確認</x:v>
      </x:c>
      <x:c r="D101" s="253" t="str">
        <x:f>'作業計画'!D101</x:f>
        <x:v>業務／UAT担当（要確定）</x:v>
      </x:c>
      <x:c r="E101" s="253" t="str">
        <x:f>'作業計画'!E101</x:f>
        <x:v>Dataverse／Fabric</x:v>
      </x:c>
      <x:c r="F101" s="291" t="str">
        <x:f>'作業計画'!F101</x:f>
        <x:v>2.中</x:v>
      </x:c>
      <x:c r="G101" s="291" t="str">
        <x:f>'作業計画'!G101</x:f>
        <x:v>00.未確認</x:v>
      </x:c>
      <x:c r="H101" s="306" t="str">
        <x:f>IF('作業計画'!$H101="設計",IF('作業計画'!O101="","",'作業計画'!O101),"")</x:f>
      </x:c>
      <x:c r="I101" s="306" t="str">
        <x:f>IF('作業計画'!$H101="設計",IF('作業計画'!P101="","",'作業計画'!P101),"")</x:f>
      </x:c>
      <x:c r="J101" s="306" t="str">
        <x:f>IF('作業計画'!$H101="設計",IF('作業計画'!Q101="","",'作業計画'!Q101),"")</x:f>
      </x:c>
      <x:c r="K101" s="306" t="str">
        <x:f>IF('作業計画'!$H101="設計",IF('作業計画'!R101="","",'作業計画'!R101),"")</x:f>
      </x:c>
      <x:c r="L101" s="307" t="str">
        <x:f>IF('作業計画'!$H101="設計",'作業計画'!U101,"")</x:f>
      </x:c>
      <x:c r="M101" s="291" t="str">
        <x:f>IF('作業計画'!$H101="設計",'作業計画'!V101,"")</x:f>
      </x:c>
      <x:c r="N101" s="306" t="str">
        <x:f>IF('作業計画'!$H101="開発",IF('作業計画'!O101="","",'作業計画'!O101),"")</x:f>
      </x:c>
      <x:c r="O101" s="306" t="str">
        <x:f>IF('作業計画'!$H101="開発",IF('作業計画'!P101="","",'作業計画'!P101),"")</x:f>
      </x:c>
      <x:c r="P101" s="306" t="str">
        <x:f>IF('作業計画'!$H101="開発",IF('作業計画'!Q101="","",'作業計画'!Q101),"")</x:f>
      </x:c>
      <x:c r="Q101" s="306" t="str">
        <x:f>IF('作業計画'!$H101="開発",IF('作業計画'!R101="","",'作業計画'!R101),"")</x:f>
      </x:c>
      <x:c r="R101" s="291" t="str">
        <x:f>IF('作業計画'!$H101="開発",'作業計画'!S101,"")</x:f>
      </x:c>
      <x:c r="S101" s="291" t="str">
        <x:f>IF('作業計画'!$H101="開発",'作業計画'!T101,"")</x:f>
      </x:c>
      <x:c r="T101" s="307" t="str">
        <x:f>IF('作業計画'!$H101="開発",'作業計画'!U101,"")</x:f>
      </x:c>
      <x:c r="U101" s="291" t="str">
        <x:f>IF('作業計画'!$H101="開発",'作業計画'!V101,"")</x:f>
      </x:c>
      <x:c r="V101" s="306" t="n">
        <x:f>IF('作業計画'!$H101="テスト",IF('作業計画'!O101="","",'作業計画'!O101),"")</x:f>
        <x:v>46448</x:v>
      </x:c>
      <x:c r="W101" s="306" t="n">
        <x:f>IF('作業計画'!$H101="テスト",IF('作業計画'!P101="","",'作業計画'!P101),"")</x:f>
        <x:v>46449</x:v>
      </x:c>
      <x:c r="X101" s="306" t="str">
        <x:f>IF('作業計画'!$H101="テスト",IF('作業計画'!Q101="","",'作業計画'!Q101),"")</x:f>
      </x:c>
      <x:c r="Y101" s="306" t="str">
        <x:f>IF('作業計画'!$H101="テスト",IF('作業計画'!R101="","",'作業計画'!R101),"")</x:f>
      </x:c>
      <x:c r="Z101" s="291" t="n">
        <x:f>IF('作業計画'!$H101="テスト",'作業計画'!S101,"")</x:f>
        <x:v>1</x:v>
      </x:c>
      <x:c r="AA101" s="291" t="n">
        <x:f>IF('作業計画'!$H101="テスト",'作業計画'!T101,"")</x:f>
        <x:v>0</x:v>
      </x:c>
      <x:c r="AB101" s="307" t="n">
        <x:f>IF('作業計画'!$H101="テスト",'作業計画'!U101,"")</x:f>
        <x:v>0</x:v>
      </x:c>
      <x:c r="AC101" s="291" t="str">
        <x:f>IF('作業計画'!$H101="テスト",'作業計画'!V101,"")</x:f>
        <x:v>予定前</x:v>
      </x:c>
      <x:c r="AD101" s="306" t="n">
        <x:f>IF('作業計画'!O101="","",'作業計画'!O101)</x:f>
        <x:v>46448</x:v>
      </x:c>
      <x:c r="AE101" s="306" t="n">
        <x:f>IF('作業計画'!P101="","",'作業計画'!P101)</x:f>
        <x:v>46449</x:v>
      </x:c>
      <x:c r="AF101" s="306" t="str">
        <x:f>IF('作業計画'!Q101="","",'作業計画'!Q101)</x:f>
      </x:c>
      <x:c r="AG101" s="306" t="str">
        <x:f>IF('作業計画'!R101="","",'作業計画'!R101)</x:f>
      </x:c>
      <x:c r="AH101" s="291" t="n">
        <x:f>'作業計画'!S101</x:f>
        <x:v>1</x:v>
      </x:c>
      <x:c r="AI101" s="291" t="n">
        <x:f>'作業計画'!T101</x:f>
        <x:v>0</x:v>
      </x:c>
      <x:c r="AJ101" s="307" t="n">
        <x:f>'作業計画'!U101</x:f>
        <x:v>0</x:v>
      </x:c>
      <x:c r="AK101" s="291" t="str">
        <x:f>'作業計画'!V101</x:f>
        <x:v>予定前</x:v>
      </x:c>
      <x:c r="AL101" s="291" t="str">
        <x:f>'作業計画'!W101</x:f>
        <x:v>61</x:v>
      </x:c>
      <x:c r="AM101" s="291" t="str">
        <x:f>'作業計画'!J101&amp;IF('作業計画'!K101="",""," / "&amp;'作業計画'!K101)&amp;IF('作業計画'!L101="",""," / "&amp;'作業計画'!L101)</x:f>
        <x:v>00094 / 00092</x:v>
      </x:c>
      <x:c r="AN101" s="253" t="str">
        <x:f>'作業計画'!Y101</x:f>
        <x:v>Accountの受入結果・不具合記録・業務確認</x:v>
      </x:c>
      <x:c r="AO101" s="253" t="str">
        <x:f>IF('作業計画'!Z101="","",'作業計画'!Z101)</x:f>
      </x:c>
      <x:c r="AP101" s="254" t="str">
        <x:f>'作業計画'!X101</x:f>
        <x:v>原資料展開</x:v>
      </x:c>
    </x:row>
    <x:row r="102" ht="54" customHeight="1">
      <x:c r="A102" s="457" t="str">
        <x:f>'作業計画'!A102</x:f>
        <x:v>00096</x:v>
      </x:c>
      <x:c r="B102" s="336" t="str">
        <x:f>'作業計画'!B102</x:f>
        <x:v>07.UAT</x:v>
      </x:c>
      <x:c r="C102" s="250" t="str">
        <x:f>'作業計画'!C102</x:f>
        <x:v>AccountContact：UAT・業務受入確認</x:v>
      </x:c>
      <x:c r="D102" s="250" t="str">
        <x:f>'作業計画'!D102</x:f>
        <x:v>業務／UAT担当（要確定）</x:v>
      </x:c>
      <x:c r="E102" s="250" t="str">
        <x:f>'作業計画'!E102</x:f>
        <x:v>Dataverse／Fabric</x:v>
      </x:c>
      <x:c r="F102" s="289" t="str">
        <x:f>'作業計画'!F102</x:f>
        <x:v>2.中</x:v>
      </x:c>
      <x:c r="G102" s="289" t="str">
        <x:f>'作業計画'!G102</x:f>
        <x:v>00.未確認</x:v>
      </x:c>
      <x:c r="H102" s="304" t="str">
        <x:f>IF('作業計画'!$H102="設計",IF('作業計画'!O102="","",'作業計画'!O102),"")</x:f>
      </x:c>
      <x:c r="I102" s="304" t="str">
        <x:f>IF('作業計画'!$H102="設計",IF('作業計画'!P102="","",'作業計画'!P102),"")</x:f>
      </x:c>
      <x:c r="J102" s="304" t="str">
        <x:f>IF('作業計画'!$H102="設計",IF('作業計画'!Q102="","",'作業計画'!Q102),"")</x:f>
      </x:c>
      <x:c r="K102" s="304" t="str">
        <x:f>IF('作業計画'!$H102="設計",IF('作業計画'!R102="","",'作業計画'!R102),"")</x:f>
      </x:c>
      <x:c r="L102" s="305" t="str">
        <x:f>IF('作業計画'!$H102="設計",'作業計画'!U102,"")</x:f>
      </x:c>
      <x:c r="M102" s="289" t="str">
        <x:f>IF('作業計画'!$H102="設計",'作業計画'!V102,"")</x:f>
      </x:c>
      <x:c r="N102" s="304" t="str">
        <x:f>IF('作業計画'!$H102="開発",IF('作業計画'!O102="","",'作業計画'!O102),"")</x:f>
      </x:c>
      <x:c r="O102" s="304" t="str">
        <x:f>IF('作業計画'!$H102="開発",IF('作業計画'!P102="","",'作業計画'!P102),"")</x:f>
      </x:c>
      <x:c r="P102" s="304" t="str">
        <x:f>IF('作業計画'!$H102="開発",IF('作業計画'!Q102="","",'作業計画'!Q102),"")</x:f>
      </x:c>
      <x:c r="Q102" s="304" t="str">
        <x:f>IF('作業計画'!$H102="開発",IF('作業計画'!R102="","",'作業計画'!R102),"")</x:f>
      </x:c>
      <x:c r="R102" s="289" t="str">
        <x:f>IF('作業計画'!$H102="開発",'作業計画'!S102,"")</x:f>
      </x:c>
      <x:c r="S102" s="289" t="str">
        <x:f>IF('作業計画'!$H102="開発",'作業計画'!T102,"")</x:f>
      </x:c>
      <x:c r="T102" s="305" t="str">
        <x:f>IF('作業計画'!$H102="開発",'作業計画'!U102,"")</x:f>
      </x:c>
      <x:c r="U102" s="289" t="str">
        <x:f>IF('作業計画'!$H102="開発",'作業計画'!V102,"")</x:f>
      </x:c>
      <x:c r="V102" s="304" t="n">
        <x:f>IF('作業計画'!$H102="テスト",IF('作業計画'!O102="","",'作業計画'!O102),"")</x:f>
        <x:v>46450</x:v>
      </x:c>
      <x:c r="W102" s="304" t="n">
        <x:f>IF('作業計画'!$H102="テスト",IF('作業計画'!P102="","",'作業計画'!P102),"")</x:f>
        <x:v>46451</x:v>
      </x:c>
      <x:c r="X102" s="304" t="str">
        <x:f>IF('作業計画'!$H102="テスト",IF('作業計画'!Q102="","",'作業計画'!Q102),"")</x:f>
      </x:c>
      <x:c r="Y102" s="304" t="str">
        <x:f>IF('作業計画'!$H102="テスト",IF('作業計画'!R102="","",'作業計画'!R102),"")</x:f>
      </x:c>
      <x:c r="Z102" s="289" t="n">
        <x:f>IF('作業計画'!$H102="テスト",'作業計画'!S102,"")</x:f>
        <x:v>1</x:v>
      </x:c>
      <x:c r="AA102" s="289" t="n">
        <x:f>IF('作業計画'!$H102="テスト",'作業計画'!T102,"")</x:f>
        <x:v>0</x:v>
      </x:c>
      <x:c r="AB102" s="305" t="n">
        <x:f>IF('作業計画'!$H102="テスト",'作業計画'!U102,"")</x:f>
        <x:v>0</x:v>
      </x:c>
      <x:c r="AC102" s="289" t="str">
        <x:f>IF('作業計画'!$H102="テスト",'作業計画'!V102,"")</x:f>
        <x:v>予定前</x:v>
      </x:c>
      <x:c r="AD102" s="304" t="n">
        <x:f>IF('作業計画'!O102="","",'作業計画'!O102)</x:f>
        <x:v>46450</x:v>
      </x:c>
      <x:c r="AE102" s="304" t="n">
        <x:f>IF('作業計画'!P102="","",'作業計画'!P102)</x:f>
        <x:v>46451</x:v>
      </x:c>
      <x:c r="AF102" s="304" t="str">
        <x:f>IF('作業計画'!Q102="","",'作業計画'!Q102)</x:f>
      </x:c>
      <x:c r="AG102" s="304" t="str">
        <x:f>IF('作業計画'!R102="","",'作業計画'!R102)</x:f>
      </x:c>
      <x:c r="AH102" s="289" t="n">
        <x:f>'作業計画'!S102</x:f>
        <x:v>1</x:v>
      </x:c>
      <x:c r="AI102" s="289" t="n">
        <x:f>'作業計画'!T102</x:f>
        <x:v>0</x:v>
      </x:c>
      <x:c r="AJ102" s="305" t="n">
        <x:f>'作業計画'!U102</x:f>
        <x:v>0</x:v>
      </x:c>
      <x:c r="AK102" s="289" t="str">
        <x:f>'作業計画'!V102</x:f>
        <x:v>予定前</x:v>
      </x:c>
      <x:c r="AL102" s="289" t="str">
        <x:f>'作業計画'!W102</x:f>
        <x:v>62</x:v>
      </x:c>
      <x:c r="AM102" s="289" t="str">
        <x:f>'作業計画'!J102&amp;IF('作業計画'!K102="",""," / "&amp;'作業計画'!K102)&amp;IF('作業計画'!L102="",""," / "&amp;'作業計画'!L102)</x:f>
        <x:v>00095 / 00092</x:v>
      </x:c>
      <x:c r="AN102" s="250" t="str">
        <x:f>'作業計画'!Y102</x:f>
        <x:v>AccountContactの受入結果・不具合記録・業務確認</x:v>
      </x:c>
      <x:c r="AO102" s="250" t="str">
        <x:f>IF('作業計画'!Z102="","",'作業計画'!Z102)</x:f>
      </x:c>
      <x:c r="AP102" s="251" t="str">
        <x:f>'作業計画'!X102</x:f>
        <x:v>原資料展開</x:v>
      </x:c>
    </x:row>
    <x:row r="103" ht="54" customHeight="1">
      <x:c r="A103" s="458" t="str">
        <x:f>'作業計画'!A103</x:f>
        <x:v>00097</x:v>
      </x:c>
      <x:c r="B103" s="336" t="str">
        <x:f>'作業計画'!B103</x:f>
        <x:v>07.UAT</x:v>
      </x:c>
      <x:c r="C103" s="253" t="str">
        <x:f>'作業計画'!C103</x:f>
        <x:v>SalesRepHospital：UAT・業務受入確認</x:v>
      </x:c>
      <x:c r="D103" s="253" t="str">
        <x:f>'作業計画'!D103</x:f>
        <x:v>業務／UAT担当（要確定）</x:v>
      </x:c>
      <x:c r="E103" s="253" t="str">
        <x:f>'作業計画'!E103</x:f>
        <x:v>Dataverse／Fabric</x:v>
      </x:c>
      <x:c r="F103" s="291" t="str">
        <x:f>'作業計画'!F103</x:f>
        <x:v>2.中</x:v>
      </x:c>
      <x:c r="G103" s="291" t="str">
        <x:f>'作業計画'!G103</x:f>
        <x:v>00.未確認</x:v>
      </x:c>
      <x:c r="H103" s="306" t="str">
        <x:f>IF('作業計画'!$H103="設計",IF('作業計画'!O103="","",'作業計画'!O103),"")</x:f>
      </x:c>
      <x:c r="I103" s="306" t="str">
        <x:f>IF('作業計画'!$H103="設計",IF('作業計画'!P103="","",'作業計画'!P103),"")</x:f>
      </x:c>
      <x:c r="J103" s="306" t="str">
        <x:f>IF('作業計画'!$H103="設計",IF('作業計画'!Q103="","",'作業計画'!Q103),"")</x:f>
      </x:c>
      <x:c r="K103" s="306" t="str">
        <x:f>IF('作業計画'!$H103="設計",IF('作業計画'!R103="","",'作業計画'!R103),"")</x:f>
      </x:c>
      <x:c r="L103" s="307" t="str">
        <x:f>IF('作業計画'!$H103="設計",'作業計画'!U103,"")</x:f>
      </x:c>
      <x:c r="M103" s="291" t="str">
        <x:f>IF('作業計画'!$H103="設計",'作業計画'!V103,"")</x:f>
      </x:c>
      <x:c r="N103" s="306" t="str">
        <x:f>IF('作業計画'!$H103="開発",IF('作業計画'!O103="","",'作業計画'!O103),"")</x:f>
      </x:c>
      <x:c r="O103" s="306" t="str">
        <x:f>IF('作業計画'!$H103="開発",IF('作業計画'!P103="","",'作業計画'!P103),"")</x:f>
      </x:c>
      <x:c r="P103" s="306" t="str">
        <x:f>IF('作業計画'!$H103="開発",IF('作業計画'!Q103="","",'作業計画'!Q103),"")</x:f>
      </x:c>
      <x:c r="Q103" s="306" t="str">
        <x:f>IF('作業計画'!$H103="開発",IF('作業計画'!R103="","",'作業計画'!R103),"")</x:f>
      </x:c>
      <x:c r="R103" s="291" t="str">
        <x:f>IF('作業計画'!$H103="開発",'作業計画'!S103,"")</x:f>
      </x:c>
      <x:c r="S103" s="291" t="str">
        <x:f>IF('作業計画'!$H103="開発",'作業計画'!T103,"")</x:f>
      </x:c>
      <x:c r="T103" s="307" t="str">
        <x:f>IF('作業計画'!$H103="開発",'作業計画'!U103,"")</x:f>
      </x:c>
      <x:c r="U103" s="291" t="str">
        <x:f>IF('作業計画'!$H103="開発",'作業計画'!V103,"")</x:f>
      </x:c>
      <x:c r="V103" s="306" t="n">
        <x:f>IF('作業計画'!$H103="テスト",IF('作業計画'!O103="","",'作業計画'!O103),"")</x:f>
        <x:v>46454</x:v>
      </x:c>
      <x:c r="W103" s="306" t="n">
        <x:f>IF('作業計画'!$H103="テスト",IF('作業計画'!P103="","",'作業計画'!P103),"")</x:f>
        <x:v>46455</x:v>
      </x:c>
      <x:c r="X103" s="306" t="str">
        <x:f>IF('作業計画'!$H103="テスト",IF('作業計画'!Q103="","",'作業計画'!Q103),"")</x:f>
      </x:c>
      <x:c r="Y103" s="306" t="str">
        <x:f>IF('作業計画'!$H103="テスト",IF('作業計画'!R103="","",'作業計画'!R103),"")</x:f>
      </x:c>
      <x:c r="Z103" s="291" t="n">
        <x:f>IF('作業計画'!$H103="テスト",'作業計画'!S103,"")</x:f>
        <x:v>1</x:v>
      </x:c>
      <x:c r="AA103" s="291" t="n">
        <x:f>IF('作業計画'!$H103="テスト",'作業計画'!T103,"")</x:f>
        <x:v>0</x:v>
      </x:c>
      <x:c r="AB103" s="307" t="n">
        <x:f>IF('作業計画'!$H103="テスト",'作業計画'!U103,"")</x:f>
        <x:v>0</x:v>
      </x:c>
      <x:c r="AC103" s="291" t="str">
        <x:f>IF('作業計画'!$H103="テスト",'作業計画'!V103,"")</x:f>
        <x:v>予定前</x:v>
      </x:c>
      <x:c r="AD103" s="306" t="n">
        <x:f>IF('作業計画'!O103="","",'作業計画'!O103)</x:f>
        <x:v>46454</x:v>
      </x:c>
      <x:c r="AE103" s="306" t="n">
        <x:f>IF('作業計画'!P103="","",'作業計画'!P103)</x:f>
        <x:v>46455</x:v>
      </x:c>
      <x:c r="AF103" s="306" t="str">
        <x:f>IF('作業計画'!Q103="","",'作業計画'!Q103)</x:f>
      </x:c>
      <x:c r="AG103" s="306" t="str">
        <x:f>IF('作業計画'!R103="","",'作業計画'!R103)</x:f>
      </x:c>
      <x:c r="AH103" s="291" t="n">
        <x:f>'作業計画'!S103</x:f>
        <x:v>1</x:v>
      </x:c>
      <x:c r="AI103" s="291" t="n">
        <x:f>'作業計画'!T103</x:f>
        <x:v>0</x:v>
      </x:c>
      <x:c r="AJ103" s="307" t="n">
        <x:f>'作業計画'!U103</x:f>
        <x:v>0</x:v>
      </x:c>
      <x:c r="AK103" s="291" t="str">
        <x:f>'作業計画'!V103</x:f>
        <x:v>予定前</x:v>
      </x:c>
      <x:c r="AL103" s="291" t="str">
        <x:f>'作業計画'!W103</x:f>
        <x:v>63</x:v>
      </x:c>
      <x:c r="AM103" s="291" t="str">
        <x:f>'作業計画'!J103&amp;IF('作業計画'!K103="",""," / "&amp;'作業計画'!K103)&amp;IF('作業計画'!L103="",""," / "&amp;'作業計画'!L103)</x:f>
        <x:v>00096 / 00092</x:v>
      </x:c>
      <x:c r="AN103" s="253" t="str">
        <x:f>'作業計画'!Y103</x:f>
        <x:v>SalesRepHospitalの受入結果・不具合記録・業務確認</x:v>
      </x:c>
      <x:c r="AO103" s="253" t="str">
        <x:f>IF('作業計画'!Z103="","",'作業計画'!Z103)</x:f>
      </x:c>
      <x:c r="AP103" s="254" t="str">
        <x:f>'作業計画'!X103</x:f>
        <x:v>原資料展開</x:v>
      </x:c>
    </x:row>
    <x:row r="104" ht="54" customHeight="1">
      <x:c r="A104" s="457" t="str">
        <x:f>'作業計画'!A104</x:f>
        <x:v>00098</x:v>
      </x:c>
      <x:c r="B104" s="336" t="str">
        <x:f>'作業計画'!B104</x:f>
        <x:v>07.UAT</x:v>
      </x:c>
      <x:c r="C104" s="250" t="str">
        <x:f>'作業計画'!C104</x:f>
        <x:v>UAT結果レビュー・受入合意</x:v>
      </x:c>
      <x:c r="D104" s="250" t="str">
        <x:f>'作業計画'!D104</x:f>
        <x:v>業務責任者（要確定）</x:v>
      </x:c>
      <x:c r="E104" s="250" t="str">
        <x:f>'作業計画'!E104</x:f>
        <x:v>Fabric</x:v>
      </x:c>
      <x:c r="F104" s="289" t="str">
        <x:f>'作業計画'!F104</x:f>
        <x:v>1.高</x:v>
      </x:c>
      <x:c r="G104" s="289" t="str">
        <x:f>'作業計画'!G104</x:f>
        <x:v>00.未確認</x:v>
      </x:c>
      <x:c r="H104" s="304" t="str">
        <x:f>IF('作業計画'!$H104="設計",IF('作業計画'!O104="","",'作業計画'!O104),"")</x:f>
      </x:c>
      <x:c r="I104" s="304" t="str">
        <x:f>IF('作業計画'!$H104="設計",IF('作業計画'!P104="","",'作業計画'!P104),"")</x:f>
      </x:c>
      <x:c r="J104" s="304" t="str">
        <x:f>IF('作業計画'!$H104="設計",IF('作業計画'!Q104="","",'作業計画'!Q104),"")</x:f>
      </x:c>
      <x:c r="K104" s="304" t="str">
        <x:f>IF('作業計画'!$H104="設計",IF('作業計画'!R104="","",'作業計画'!R104),"")</x:f>
      </x:c>
      <x:c r="L104" s="305" t="str">
        <x:f>IF('作業計画'!$H104="設計",'作業計画'!U104,"")</x:f>
      </x:c>
      <x:c r="M104" s="289" t="str">
        <x:f>IF('作業計画'!$H104="設計",'作業計画'!V104,"")</x:f>
      </x:c>
      <x:c r="N104" s="304" t="str">
        <x:f>IF('作業計画'!$H104="開発",IF('作業計画'!O104="","",'作業計画'!O104),"")</x:f>
      </x:c>
      <x:c r="O104" s="304" t="str">
        <x:f>IF('作業計画'!$H104="開発",IF('作業計画'!P104="","",'作業計画'!P104),"")</x:f>
      </x:c>
      <x:c r="P104" s="304" t="str">
        <x:f>IF('作業計画'!$H104="開発",IF('作業計画'!Q104="","",'作業計画'!Q104),"")</x:f>
      </x:c>
      <x:c r="Q104" s="304" t="str">
        <x:f>IF('作業計画'!$H104="開発",IF('作業計画'!R104="","",'作業計画'!R104),"")</x:f>
      </x:c>
      <x:c r="R104" s="289" t="str">
        <x:f>IF('作業計画'!$H104="開発",'作業計画'!S104,"")</x:f>
      </x:c>
      <x:c r="S104" s="289" t="str">
        <x:f>IF('作業計画'!$H104="開発",'作業計画'!T104,"")</x:f>
      </x:c>
      <x:c r="T104" s="305" t="str">
        <x:f>IF('作業計画'!$H104="開発",'作業計画'!U104,"")</x:f>
      </x:c>
      <x:c r="U104" s="289" t="str">
        <x:f>IF('作業計画'!$H104="開発",'作業計画'!V104,"")</x:f>
      </x:c>
      <x:c r="V104" s="304" t="n">
        <x:f>IF('作業計画'!$H104="テスト",IF('作業計画'!O104="","",'作業計画'!O104),"")</x:f>
        <x:v>46456</x:v>
      </x:c>
      <x:c r="W104" s="304" t="n">
        <x:f>IF('作業計画'!$H104="テスト",IF('作業計画'!P104="","",'作業計画'!P104),"")</x:f>
        <x:v>46456</x:v>
      </x:c>
      <x:c r="X104" s="304" t="str">
        <x:f>IF('作業計画'!$H104="テスト",IF('作業計画'!Q104="","",'作業計画'!Q104),"")</x:f>
      </x:c>
      <x:c r="Y104" s="304" t="str">
        <x:f>IF('作業計画'!$H104="テスト",IF('作業計画'!R104="","",'作業計画'!R104),"")</x:f>
      </x:c>
      <x:c r="Z104" s="289" t="n">
        <x:f>IF('作業計画'!$H104="テスト",'作業計画'!S104,"")</x:f>
        <x:v>1</x:v>
      </x:c>
      <x:c r="AA104" s="289" t="n">
        <x:f>IF('作業計画'!$H104="テスト",'作業計画'!T104,"")</x:f>
        <x:v>0</x:v>
      </x:c>
      <x:c r="AB104" s="305" t="n">
        <x:f>IF('作業計画'!$H104="テスト",'作業計画'!U104,"")</x:f>
        <x:v>0</x:v>
      </x:c>
      <x:c r="AC104" s="289" t="str">
        <x:f>IF('作業計画'!$H104="テスト",'作業計画'!V104,"")</x:f>
        <x:v>予定前</x:v>
      </x:c>
      <x:c r="AD104" s="304" t="n">
        <x:f>IF('作業計画'!O104="","",'作業計画'!O104)</x:f>
        <x:v>46456</x:v>
      </x:c>
      <x:c r="AE104" s="304" t="n">
        <x:f>IF('作業計画'!P104="","",'作業計画'!P104)</x:f>
        <x:v>46456</x:v>
      </x:c>
      <x:c r="AF104" s="304" t="str">
        <x:f>IF('作業計画'!Q104="","",'作業計画'!Q104)</x:f>
      </x:c>
      <x:c r="AG104" s="304" t="str">
        <x:f>IF('作業計画'!R104="","",'作業計画'!R104)</x:f>
      </x:c>
      <x:c r="AH104" s="289" t="n">
        <x:f>'作業計画'!S104</x:f>
        <x:v>1</x:v>
      </x:c>
      <x:c r="AI104" s="289" t="n">
        <x:f>'作業計画'!T104</x:f>
        <x:v>0</x:v>
      </x:c>
      <x:c r="AJ104" s="305" t="n">
        <x:f>'作業計画'!U104</x:f>
        <x:v>0</x:v>
      </x:c>
      <x:c r="AK104" s="289" t="str">
        <x:f>'作業計画'!V104</x:f>
        <x:v>予定前</x:v>
      </x:c>
      <x:c r="AL104" s="289" t="str">
        <x:f>'作業計画'!W104</x:f>
        <x:v>59／60／61／62／63</x:v>
      </x:c>
      <x:c r="AM104" s="289" t="str">
        <x:f>'作業計画'!J104&amp;IF('作業計画'!K104="",""," / "&amp;'作業計画'!K104)&amp;IF('作業計画'!L104="",""," / "&amp;'作業計画'!L104)</x:f>
        <x:v>00097</x:v>
      </x:c>
      <x:c r="AN104" s="250" t="str">
        <x:f>'作業計画'!Y104</x:f>
        <x:v>受入合意・残課題・運用移管条件</x:v>
      </x:c>
      <x:c r="AO104" s="250" t="str">
        <x:f>IF('作業計画'!Z104="","",'作業計画'!Z104)</x:f>
      </x:c>
      <x:c r="AP104" s="251" t="str">
        <x:f>'作業計画'!X104</x:f>
        <x:v>補足（UAT完了判定）</x:v>
      </x:c>
    </x:row>
    <x:row r="105" ht="54" customHeight="1">
      <x:c r="A105" s="458" t="str">
        <x:f>'作業計画'!A105</x:f>
        <x:v>00099</x:v>
      </x:c>
      <x:c r="B105" s="338" t="str">
        <x:f>'作業計画'!B105</x:f>
        <x:v>08.KT</x:v>
      </x:c>
      <x:c r="C105" s="253" t="str">
        <x:f>'作業計画'!C105</x:f>
        <x:v>GoldLayer運用手順・構成・障害対応資料作成</x:v>
      </x:c>
      <x:c r="D105" s="253" t="str">
        <x:f>'作業計画'!D105</x:f>
        <x:v>開発／運用担当（要確定）</x:v>
      </x:c>
      <x:c r="E105" s="253" t="str">
        <x:f>'作業計画'!E105</x:f>
        <x:v>GoldLayer</x:v>
      </x:c>
      <x:c r="F105" s="291" t="str">
        <x:f>'作業計画'!F105</x:f>
        <x:v>2.中</x:v>
      </x:c>
      <x:c r="G105" s="291" t="str">
        <x:f>'作業計画'!G105</x:f>
        <x:v>00.未確認</x:v>
      </x:c>
      <x:c r="H105" s="306" t="str">
        <x:f>IF('作業計画'!$H105="設計",IF('作業計画'!O105="","",'作業計画'!O105),"")</x:f>
      </x:c>
      <x:c r="I105" s="306" t="str">
        <x:f>IF('作業計画'!$H105="設計",IF('作業計画'!P105="","",'作業計画'!P105),"")</x:f>
      </x:c>
      <x:c r="J105" s="306" t="str">
        <x:f>IF('作業計画'!$H105="設計",IF('作業計画'!Q105="","",'作業計画'!Q105),"")</x:f>
      </x:c>
      <x:c r="K105" s="306" t="str">
        <x:f>IF('作業計画'!$H105="設計",IF('作業計画'!R105="","",'作業計画'!R105),"")</x:f>
      </x:c>
      <x:c r="L105" s="307" t="str">
        <x:f>IF('作業計画'!$H105="設計",'作業計画'!U105,"")</x:f>
      </x:c>
      <x:c r="M105" s="291" t="str">
        <x:f>IF('作業計画'!$H105="設計",'作業計画'!V105,"")</x:f>
      </x:c>
      <x:c r="N105" s="306" t="str">
        <x:f>IF('作業計画'!$H105="開発",IF('作業計画'!O105="","",'作業計画'!O105),"")</x:f>
      </x:c>
      <x:c r="O105" s="306" t="str">
        <x:f>IF('作業計画'!$H105="開発",IF('作業計画'!P105="","",'作業計画'!P105),"")</x:f>
      </x:c>
      <x:c r="P105" s="306" t="str">
        <x:f>IF('作業計画'!$H105="開発",IF('作業計画'!Q105="","",'作業計画'!Q105),"")</x:f>
      </x:c>
      <x:c r="Q105" s="306" t="str">
        <x:f>IF('作業計画'!$H105="開発",IF('作業計画'!R105="","",'作業計画'!R105),"")</x:f>
      </x:c>
      <x:c r="R105" s="291" t="str">
        <x:f>IF('作業計画'!$H105="開発",'作業計画'!S105,"")</x:f>
      </x:c>
      <x:c r="S105" s="291" t="str">
        <x:f>IF('作業計画'!$H105="開発",'作業計画'!T105,"")</x:f>
      </x:c>
      <x:c r="T105" s="307" t="str">
        <x:f>IF('作業計画'!$H105="開発",'作業計画'!U105,"")</x:f>
      </x:c>
      <x:c r="U105" s="291" t="str">
        <x:f>IF('作業計画'!$H105="開発",'作業計画'!V105,"")</x:f>
      </x:c>
      <x:c r="V105" s="306" t="str">
        <x:f>IF('作業計画'!$H105="テスト",IF('作業計画'!O105="","",'作業計画'!O105),"")</x:f>
      </x:c>
      <x:c r="W105" s="306" t="str">
        <x:f>IF('作業計画'!$H105="テスト",IF('作業計画'!P105="","",'作業計画'!P105),"")</x:f>
      </x:c>
      <x:c r="X105" s="306" t="str">
        <x:f>IF('作業計画'!$H105="テスト",IF('作業計画'!Q105="","",'作業計画'!Q105),"")</x:f>
      </x:c>
      <x:c r="Y105" s="306" t="str">
        <x:f>IF('作業計画'!$H105="テスト",IF('作業計画'!R105="","",'作業計画'!R105),"")</x:f>
      </x:c>
      <x:c r="Z105" s="291" t="str">
        <x:f>IF('作業計画'!$H105="テスト",'作業計画'!S105,"")</x:f>
      </x:c>
      <x:c r="AA105" s="291" t="str">
        <x:f>IF('作業計画'!$H105="テスト",'作業計画'!T105,"")</x:f>
      </x:c>
      <x:c r="AB105" s="307" t="str">
        <x:f>IF('作業計画'!$H105="テスト",'作業計画'!U105,"")</x:f>
      </x:c>
      <x:c r="AC105" s="291" t="str">
        <x:f>IF('作業計画'!$H105="テスト",'作業計画'!V105,"")</x:f>
      </x:c>
      <x:c r="AD105" s="306" t="n">
        <x:f>IF('作業計画'!O105="","",'作業計画'!O105)</x:f>
        <x:v>46408</x:v>
      </x:c>
      <x:c r="AE105" s="306" t="n">
        <x:f>IF('作業計画'!P105="","",'作業計画'!P105)</x:f>
        <x:v>46412</x:v>
      </x:c>
      <x:c r="AF105" s="306" t="str">
        <x:f>IF('作業計画'!Q105="","",'作業計画'!Q105)</x:f>
      </x:c>
      <x:c r="AG105" s="306" t="str">
        <x:f>IF('作業計画'!R105="","",'作業計画'!R105)</x:f>
      </x:c>
      <x:c r="AH105" s="291" t="n">
        <x:f>'作業計画'!S105</x:f>
        <x:v>1</x:v>
      </x:c>
      <x:c r="AI105" s="291" t="n">
        <x:f>'作業計画'!T105</x:f>
        <x:v>0</x:v>
      </x:c>
      <x:c r="AJ105" s="307" t="n">
        <x:f>'作業計画'!U105</x:f>
        <x:v>0</x:v>
      </x:c>
      <x:c r="AK105" s="291" t="str">
        <x:f>'作業計画'!V105</x:f>
        <x:v>予定前</x:v>
      </x:c>
      <x:c r="AL105" s="291" t="str">
        <x:f>'作業計画'!W105</x:f>
        <x:v>64</x:v>
      </x:c>
      <x:c r="AM105" s="291" t="str">
        <x:f>'作業計画'!J105&amp;IF('作業計画'!K105="",""," / "&amp;'作業計画'!K105)&amp;IF('作業計画'!L105="",""," / "&amp;'作業計画'!L105)</x:f>
        <x:v>00067 / 00082</x:v>
      </x:c>
      <x:c r="AN105" s="253" t="str">
        <x:f>'作業計画'!Y105</x:f>
        <x:v>実行・監視・権限・差分更新・復旧・共通関数の運用資料</x:v>
      </x:c>
      <x:c r="AO105" s="253" t="str">
        <x:f>IF('作業計画'!Z105="","",'作業計画'!Z105)</x:f>
      </x:c>
      <x:c r="AP105" s="254" t="str">
        <x:f>'作業計画'!X105</x:f>
        <x:v>原資料展開</x:v>
      </x:c>
    </x:row>
    <x:row r="106" ht="54" customHeight="1">
      <x:c r="A106" s="457" t="str">
        <x:f>'作業計画'!A106</x:f>
        <x:v>00100</x:v>
      </x:c>
      <x:c r="B106" s="338" t="str">
        <x:f>'作業計画'!B106</x:f>
        <x:v>08.KT</x:v>
      </x:c>
      <x:c r="C106" s="250" t="str">
        <x:f>'作業計画'!C106</x:f>
        <x:v>Datalake運用チーム向けGoldLayer KT実施</x:v>
      </x:c>
      <x:c r="D106" s="250" t="str">
        <x:f>'作業計画'!D106</x:f>
        <x:v>開発担当／Datalake運用チーム</x:v>
      </x:c>
      <x:c r="E106" s="250" t="str">
        <x:f>'作業計画'!E106</x:f>
        <x:v>GoldLayer</x:v>
      </x:c>
      <x:c r="F106" s="289" t="str">
        <x:f>'作業計画'!F106</x:f>
        <x:v>1.高</x:v>
      </x:c>
      <x:c r="G106" s="289" t="str">
        <x:f>'作業計画'!G106</x:f>
        <x:v>00.未確認</x:v>
      </x:c>
      <x:c r="H106" s="304" t="str">
        <x:f>IF('作業計画'!$H106="設計",IF('作業計画'!O106="","",'作業計画'!O106),"")</x:f>
      </x:c>
      <x:c r="I106" s="304" t="str">
        <x:f>IF('作業計画'!$H106="設計",IF('作業計画'!P106="","",'作業計画'!P106),"")</x:f>
      </x:c>
      <x:c r="J106" s="304" t="str">
        <x:f>IF('作業計画'!$H106="設計",IF('作業計画'!Q106="","",'作業計画'!Q106),"")</x:f>
      </x:c>
      <x:c r="K106" s="304" t="str">
        <x:f>IF('作業計画'!$H106="設計",IF('作業計画'!R106="","",'作業計画'!R106),"")</x:f>
      </x:c>
      <x:c r="L106" s="305" t="str">
        <x:f>IF('作業計画'!$H106="設計",'作業計画'!U106,"")</x:f>
      </x:c>
      <x:c r="M106" s="289" t="str">
        <x:f>IF('作業計画'!$H106="設計",'作業計画'!V106,"")</x:f>
      </x:c>
      <x:c r="N106" s="304" t="str">
        <x:f>IF('作業計画'!$H106="開発",IF('作業計画'!O106="","",'作業計画'!O106),"")</x:f>
      </x:c>
      <x:c r="O106" s="304" t="str">
        <x:f>IF('作業計画'!$H106="開発",IF('作業計画'!P106="","",'作業計画'!P106),"")</x:f>
      </x:c>
      <x:c r="P106" s="304" t="str">
        <x:f>IF('作業計画'!$H106="開発",IF('作業計画'!Q106="","",'作業計画'!Q106),"")</x:f>
      </x:c>
      <x:c r="Q106" s="304" t="str">
        <x:f>IF('作業計画'!$H106="開発",IF('作業計画'!R106="","",'作業計画'!R106),"")</x:f>
      </x:c>
      <x:c r="R106" s="289" t="str">
        <x:f>IF('作業計画'!$H106="開発",'作業計画'!S106,"")</x:f>
      </x:c>
      <x:c r="S106" s="289" t="str">
        <x:f>IF('作業計画'!$H106="開発",'作業計画'!T106,"")</x:f>
      </x:c>
      <x:c r="T106" s="305" t="str">
        <x:f>IF('作業計画'!$H106="開発",'作業計画'!U106,"")</x:f>
      </x:c>
      <x:c r="U106" s="289" t="str">
        <x:f>IF('作業計画'!$H106="開発",'作業計画'!V106,"")</x:f>
      </x:c>
      <x:c r="V106" s="304" t="str">
        <x:f>IF('作業計画'!$H106="テスト",IF('作業計画'!O106="","",'作業計画'!O106),"")</x:f>
      </x:c>
      <x:c r="W106" s="304" t="str">
        <x:f>IF('作業計画'!$H106="テスト",IF('作業計画'!P106="","",'作業計画'!P106),"")</x:f>
      </x:c>
      <x:c r="X106" s="304" t="str">
        <x:f>IF('作業計画'!$H106="テスト",IF('作業計画'!Q106="","",'作業計画'!Q106),"")</x:f>
      </x:c>
      <x:c r="Y106" s="304" t="str">
        <x:f>IF('作業計画'!$H106="テスト",IF('作業計画'!R106="","",'作業計画'!R106),"")</x:f>
      </x:c>
      <x:c r="Z106" s="289" t="str">
        <x:f>IF('作業計画'!$H106="テスト",'作業計画'!S106,"")</x:f>
      </x:c>
      <x:c r="AA106" s="289" t="str">
        <x:f>IF('作業計画'!$H106="テスト",'作業計画'!T106,"")</x:f>
      </x:c>
      <x:c r="AB106" s="305" t="str">
        <x:f>IF('作業計画'!$H106="テスト",'作業計画'!U106,"")</x:f>
      </x:c>
      <x:c r="AC106" s="289" t="str">
        <x:f>IF('作業計画'!$H106="テスト",'作業計画'!V106,"")</x:f>
      </x:c>
      <x:c r="AD106" s="304" t="n">
        <x:f>IF('作業計画'!O106="","",'作業計画'!O106)</x:f>
        <x:v>46457</x:v>
      </x:c>
      <x:c r="AE106" s="304" t="n">
        <x:f>IF('作業計画'!P106="","",'作業計画'!P106)</x:f>
        <x:v>46458</x:v>
      </x:c>
      <x:c r="AF106" s="304" t="str">
        <x:f>IF('作業計画'!Q106="","",'作業計画'!Q106)</x:f>
      </x:c>
      <x:c r="AG106" s="304" t="str">
        <x:f>IF('作業計画'!R106="","",'作業計画'!R106)</x:f>
      </x:c>
      <x:c r="AH106" s="289" t="n">
        <x:f>'作業計画'!S106</x:f>
        <x:v>1</x:v>
      </x:c>
      <x:c r="AI106" s="289" t="n">
        <x:f>'作業計画'!T106</x:f>
        <x:v>0</x:v>
      </x:c>
      <x:c r="AJ106" s="305" t="n">
        <x:f>'作業計画'!U106</x:f>
        <x:v>0</x:v>
      </x:c>
      <x:c r="AK106" s="289" t="str">
        <x:f>'作業計画'!V106</x:f>
        <x:v>予定前</x:v>
      </x:c>
      <x:c r="AL106" s="289" t="str">
        <x:f>'作業計画'!W106</x:f>
        <x:v>64</x:v>
      </x:c>
      <x:c r="AM106" s="289" t="str">
        <x:f>'作業計画'!J106&amp;IF('作業計画'!K106="",""," / "&amp;'作業計画'!K106)&amp;IF('作業計画'!L106="",""," / "&amp;'作業計画'!L106)</x:f>
        <x:v>00099 / 00098</x:v>
      </x:c>
      <x:c r="AN106" s="250" t="str">
        <x:f>'作業計画'!Y106</x:f>
        <x:v>KT実施記録・説明資料・運用操作の確認</x:v>
      </x:c>
      <x:c r="AO106" s="250" t="str">
        <x:f>IF('作業計画'!Z106="","",'作業計画'!Z106)</x:f>
      </x:c>
      <x:c r="AP106" s="251" t="str">
        <x:f>'作業計画'!X106</x:f>
        <x:v>原資料展開</x:v>
      </x:c>
    </x:row>
    <x:row r="107" ht="54" customHeight="1">
      <x:c r="A107" s="459" t="str">
        <x:f>'作業計画'!A107</x:f>
        <x:v>00101</x:v>
      </x:c>
      <x:c r="B107" s="340" t="str">
        <x:f>'作業計画'!B107</x:f>
        <x:v>08.KT</x:v>
      </x:c>
      <x:c r="C107" s="256" t="str">
        <x:f>'作業計画'!C107</x:f>
        <x:v>KT質疑対応・引継ぎ完了確認</x:v>
      </x:c>
      <x:c r="D107" s="256" t="str">
        <x:f>'作業計画'!D107</x:f>
        <x:v>開発担当／Datalake運用チーム</x:v>
      </x:c>
      <x:c r="E107" s="256" t="str">
        <x:f>'作業計画'!E107</x:f>
        <x:v>GoldLayer</x:v>
      </x:c>
      <x:c r="F107" s="293" t="str">
        <x:f>'作業計画'!F107</x:f>
        <x:v>2.中</x:v>
      </x:c>
      <x:c r="G107" s="293" t="str">
        <x:f>'作業計画'!G107</x:f>
        <x:v>00.未確認</x:v>
      </x:c>
      <x:c r="H107" s="308" t="str">
        <x:f>IF('作業計画'!$H107="設計",IF('作業計画'!O107="","",'作業計画'!O107),"")</x:f>
      </x:c>
      <x:c r="I107" s="308" t="str">
        <x:f>IF('作業計画'!$H107="設計",IF('作業計画'!P107="","",'作業計画'!P107),"")</x:f>
      </x:c>
      <x:c r="J107" s="308" t="str">
        <x:f>IF('作業計画'!$H107="設計",IF('作業計画'!Q107="","",'作業計画'!Q107),"")</x:f>
      </x:c>
      <x:c r="K107" s="308" t="str">
        <x:f>IF('作業計画'!$H107="設計",IF('作業計画'!R107="","",'作業計画'!R107),"")</x:f>
      </x:c>
      <x:c r="L107" s="309" t="str">
        <x:f>IF('作業計画'!$H107="設計",'作業計画'!U107,"")</x:f>
      </x:c>
      <x:c r="M107" s="293" t="str">
        <x:f>IF('作業計画'!$H107="設計",'作業計画'!V107,"")</x:f>
      </x:c>
      <x:c r="N107" s="308" t="str">
        <x:f>IF('作業計画'!$H107="開発",IF('作業計画'!O107="","",'作業計画'!O107),"")</x:f>
      </x:c>
      <x:c r="O107" s="308" t="str">
        <x:f>IF('作業計画'!$H107="開発",IF('作業計画'!P107="","",'作業計画'!P107),"")</x:f>
      </x:c>
      <x:c r="P107" s="308" t="str">
        <x:f>IF('作業計画'!$H107="開発",IF('作業計画'!Q107="","",'作業計画'!Q107),"")</x:f>
      </x:c>
      <x:c r="Q107" s="308" t="str">
        <x:f>IF('作業計画'!$H107="開発",IF('作業計画'!R107="","",'作業計画'!R107),"")</x:f>
      </x:c>
      <x:c r="R107" s="293" t="str">
        <x:f>IF('作業計画'!$H107="開発",'作業計画'!S107,"")</x:f>
      </x:c>
      <x:c r="S107" s="293" t="str">
        <x:f>IF('作業計画'!$H107="開発",'作業計画'!T107,"")</x:f>
      </x:c>
      <x:c r="T107" s="309" t="str">
        <x:f>IF('作業計画'!$H107="開発",'作業計画'!U107,"")</x:f>
      </x:c>
      <x:c r="U107" s="293" t="str">
        <x:f>IF('作業計画'!$H107="開発",'作業計画'!V107,"")</x:f>
      </x:c>
      <x:c r="V107" s="308" t="str">
        <x:f>IF('作業計画'!$H107="テスト",IF('作業計画'!O107="","",'作業計画'!O107),"")</x:f>
      </x:c>
      <x:c r="W107" s="308" t="str">
        <x:f>IF('作業計画'!$H107="テスト",IF('作業計画'!P107="","",'作業計画'!P107),"")</x:f>
      </x:c>
      <x:c r="X107" s="308" t="str">
        <x:f>IF('作業計画'!$H107="テスト",IF('作業計画'!Q107="","",'作業計画'!Q107),"")</x:f>
      </x:c>
      <x:c r="Y107" s="308" t="str">
        <x:f>IF('作業計画'!$H107="テスト",IF('作業計画'!R107="","",'作業計画'!R107),"")</x:f>
      </x:c>
      <x:c r="Z107" s="293" t="str">
        <x:f>IF('作業計画'!$H107="テスト",'作業計画'!S107,"")</x:f>
      </x:c>
      <x:c r="AA107" s="293" t="str">
        <x:f>IF('作業計画'!$H107="テスト",'作業計画'!T107,"")</x:f>
      </x:c>
      <x:c r="AB107" s="309" t="str">
        <x:f>IF('作業計画'!$H107="テスト",'作業計画'!U107,"")</x:f>
      </x:c>
      <x:c r="AC107" s="293" t="str">
        <x:f>IF('作業計画'!$H107="テスト",'作業計画'!V107,"")</x:f>
      </x:c>
      <x:c r="AD107" s="308" t="n">
        <x:f>IF('作業計画'!O107="","",'作業計画'!O107)</x:f>
        <x:v>46461</x:v>
      </x:c>
      <x:c r="AE107" s="308" t="n">
        <x:f>IF('作業計画'!P107="","",'作業計画'!P107)</x:f>
        <x:v>46461</x:v>
      </x:c>
      <x:c r="AF107" s="308" t="str">
        <x:f>IF('作業計画'!Q107="","",'作業計画'!Q107)</x:f>
      </x:c>
      <x:c r="AG107" s="308" t="str">
        <x:f>IF('作業計画'!R107="","",'作業計画'!R107)</x:f>
      </x:c>
      <x:c r="AH107" s="293" t="n">
        <x:f>'作業計画'!S107</x:f>
        <x:v>1</x:v>
      </x:c>
      <x:c r="AI107" s="293" t="n">
        <x:f>'作業計画'!T107</x:f>
        <x:v>0</x:v>
      </x:c>
      <x:c r="AJ107" s="309" t="n">
        <x:f>'作業計画'!U107</x:f>
        <x:v>0</x:v>
      </x:c>
      <x:c r="AK107" s="293" t="str">
        <x:f>'作業計画'!V107</x:f>
        <x:v>予定前</x:v>
      </x:c>
      <x:c r="AL107" s="293" t="str">
        <x:f>'作業計画'!W107</x:f>
        <x:v>64</x:v>
      </x:c>
      <x:c r="AM107" s="293" t="str">
        <x:f>'作業計画'!J107&amp;IF('作業計画'!K107="",""," / "&amp;'作業計画'!K107)&amp;IF('作業計画'!L107="",""," / "&amp;'作業計画'!L107)</x:f>
        <x:v>00100</x:v>
      </x:c>
      <x:c r="AN107" s="256" t="str">
        <x:f>'作業計画'!Y107</x:f>
        <x:v>質疑一覧・未解決事項・引継ぎ完了記録</x:v>
      </x:c>
      <x:c r="AO107" s="256" t="str">
        <x:f>IF('作業計画'!Z107="","",'作業計画'!Z107)</x:f>
      </x:c>
      <x:c r="AP107" s="257" t="str">
        <x:f>'作業計画'!X107</x:f>
        <x:v>補足（KT完了判定）</x:v>
      </x:c>
    </x:row>
  </x:sheetData>
  <x:mergeCells>
    <x:mergeCell ref="A1:AP1"/>
    <x:mergeCell ref="A2:AP2"/>
    <x:mergeCell ref="A4:E5"/>
    <x:mergeCell ref="F4:G5"/>
    <x:mergeCell ref="H4:M4"/>
    <x:mergeCell ref="N4:U4"/>
    <x:mergeCell ref="V4:AC4"/>
    <x:mergeCell ref="AD4:AK4"/>
    <x:mergeCell ref="AL4:AP5"/>
    <x:mergeCell ref="H5:I5"/>
    <x:mergeCell ref="J5:K5"/>
    <x:mergeCell ref="L5:M5"/>
    <x:mergeCell ref="N5:O5"/>
    <x:mergeCell ref="P5:Q5"/>
    <x:mergeCell ref="R5:T5"/>
    <x:mergeCell ref="V5:W5"/>
    <x:mergeCell ref="X5:Y5"/>
    <x:mergeCell ref="Z5:AB5"/>
    <x:mergeCell ref="AD5:AE5"/>
    <x:mergeCell ref="AF5:AG5"/>
    <x:mergeCell ref="AH5:AJ5"/>
  </x:mergeCells>
  <x:conditionalFormatting sqref="L7:L107">
    <x:cfRule type="dataBar" priority="1">
      <x:dataBar>
        <x:cfvo type="min"/>
        <x:cfvo type="max"/>
        <x:color rgb="FF7AA66B"/>
      </x:dataBar>
      <x:extLst>
        <x:ext xmlns:x14="http://schemas.microsoft.com/office/spreadsheetml/2009/9/main" uri="{B025F937-C7B1-47D3-B67F-A62EFF666E3E}">
          <x14:id>{B462C176-FDD7-D37C-5B89-114AAE4E5383}</x14:id>
        </x:ext>
      </x:extLst>
    </x:cfRule>
  </x:conditionalFormatting>
  <x:conditionalFormatting sqref="T7:T107">
    <x:cfRule type="dataBar" priority="2">
      <x:dataBar>
        <x:cfvo type="min"/>
        <x:cfvo type="max"/>
        <x:color rgb="FF7AA66B"/>
      </x:dataBar>
      <x:extLst>
        <x:ext xmlns:x14="http://schemas.microsoft.com/office/spreadsheetml/2009/9/main" uri="{B025F937-C7B1-47D3-B67F-A62EFF666E3E}">
          <x14:id>{4E166BDF-4DFE-7DE1-B030-AF6EBC2324B9}</x14:id>
        </x:ext>
      </x:extLst>
    </x:cfRule>
  </x:conditionalFormatting>
  <x:conditionalFormatting sqref="AB7:AB107">
    <x:cfRule type="dataBar" priority="3">
      <x:dataBar>
        <x:cfvo type="min"/>
        <x:cfvo type="max"/>
        <x:color rgb="FF7AA66B"/>
      </x:dataBar>
      <x:extLst>
        <x:ext xmlns:x14="http://schemas.microsoft.com/office/spreadsheetml/2009/9/main" uri="{B025F937-C7B1-47D3-B67F-A62EFF666E3E}">
          <x14:id>{FE1454F9-B3F9-8F5A-EF39-0B2762DF56FA}</x14:id>
        </x:ext>
      </x:extLst>
    </x:cfRule>
  </x:conditionalFormatting>
  <x:conditionalFormatting sqref="AJ7:AJ107">
    <x:cfRule type="dataBar" priority="4">
      <x:dataBar>
        <x:cfvo type="min"/>
        <x:cfvo type="max"/>
        <x:color rgb="FF7AA66B"/>
      </x:dataBar>
      <x:extLst>
        <x:ext xmlns:x14="http://schemas.microsoft.com/office/spreadsheetml/2009/9/main" uri="{B025F937-C7B1-47D3-B67F-A62EFF666E3E}">
          <x14:id>{9224DB9E-1421-0E3C-8A31-05BEAFDF749C}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462C176-FDD7-D37C-5B89-114AAE4E5383}">
            <x14:dataBar gradient="0">
              <x14:cfvo type="min"/>
              <x14:cfvo type="max"/>
              <x14:fillColor rgb="FF7AA66B"/>
            </x14:dataBar>
          </x14:cfRule>
          <xm:sqref>L7:L107</xm:sqref>
        </x14:conditionalFormatting>
        <x14:conditionalFormatting>
          <x14:cfRule type="dataBar" priority="2" id="{4E166BDF-4DFE-7DE1-B030-AF6EBC2324B9}">
            <x14:dataBar gradient="0">
              <x14:cfvo type="min"/>
              <x14:cfvo type="max"/>
              <x14:fillColor rgb="FF7AA66B"/>
            </x14:dataBar>
          </x14:cfRule>
          <xm:sqref>T7:T107</xm:sqref>
        </x14:conditionalFormatting>
        <x14:conditionalFormatting>
          <x14:cfRule type="dataBar" priority="3" id="{FE1454F9-B3F9-8F5A-EF39-0B2762DF56FA}">
            <x14:dataBar gradient="0">
              <x14:cfvo type="min"/>
              <x14:cfvo type="max"/>
              <x14:fillColor rgb="FF7AA66B"/>
            </x14:dataBar>
          </x14:cfRule>
          <xm:sqref>AB7:AB107</xm:sqref>
        </x14:conditionalFormatting>
        <x14:conditionalFormatting>
          <x14:cfRule type="dataBar" priority="4" id="{9224DB9E-1421-0E3C-8A31-05BEAFDF749C}">
            <x14:dataBar gradient="0">
              <x14:cfvo type="min"/>
              <x14:cfvo type="max"/>
              <x14:fillColor rgb="FF7AA66B"/>
            </x14:dataBar>
          </x14:cfRule>
          <xm:sqref>AJ7:AJ107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workbookViewId="0">
      <x:pane xSplit="3" ySplit="6" topLeftCell="D7" activePane="bottomRight" state="frozen"/>
    </x:sheetView>
  </x:sheetViews>
  <x:sheetFormatPr defaultRowHeight="15"/>
  <x:cols>
    <x:col min="1" max="1" width="10" hidden="0" customWidth="1"/>
    <x:col min="2" max="2" width="19" hidden="0" customWidth="1"/>
    <x:col min="3" max="3" width="44" hidden="0" customWidth="1"/>
    <x:col min="4" max="4" width="27" hidden="0" customWidth="1"/>
    <x:col min="5" max="5" width="28" hidden="0" customWidth="1"/>
    <x:col min="6" max="6" width="10" hidden="0" customWidth="1"/>
    <x:col min="7" max="7" width="24" hidden="0" customWidth="1"/>
    <x:col min="8" max="8" width="12" hidden="0" customWidth="1"/>
    <x:col min="9" max="9" width="22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0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9" hidden="0" customWidth="1"/>
    <x:col min="20" max="20" width="9" hidden="0" customWidth="1"/>
    <x:col min="21" max="21" width="11" hidden="0" customWidth="1"/>
    <x:col min="22" max="22" width="25" hidden="0" customWidth="1"/>
    <x:col min="23" max="23" width="19" hidden="0" customWidth="1"/>
    <x:col min="24" max="24" width="29" hidden="0" customWidth="1"/>
    <x:col min="25" max="25" width="48" hidden="0" customWidth="1"/>
    <x:col min="26" max="26" width="56" hidden="0" customWidth="1"/>
    <x:col min="27" max="27" width="15" hidden="0" customWidth="1"/>
  </x:cols>
  <x:sheetData>
    <x:row r="1" ht="32" customHeight="1">
      <x:c r="A1" s="41" t="str">
        <x:v>作業計画｜入力用マスター  /  101 TASKS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  <x:c r="AA1" s="41"/>
    </x:row>
    <x:row r="2" ht="25" customHeight="1">
      <x:c r="A2" s="45" t="str">
        <x:v>青文字セル＝入力。開始日・期間・担当・先行関係は仮置き。元資料No.5・6のみ資料上完了。実績日は未確認のため空欄です。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  <x:c r="AA2" s="45"/>
    </x:row>
    <x:row r="3" ht="25" customHeight="1">
      <x:c r="A3" s="49" t="str">
        <x:v>計画開始日：設定!B4で変更。先行①～③の終了翌営業日と最早着手日の遅い方を予定開始に採用。祝日・年末年始は設定!J4:J53へ登録。</x:v>
      </x:c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  <x:c r="AA3" s="49"/>
    </x:row>
    <x:row r="4" ht="25" customHeight="1">
      <x:c r="A4" s="49" t="str">
        <x:v>総数量1は1式の暫定管理単位（試験ケース数・物理テーブル数ではありません）。タスクIDと行順は維持し、絞込みはフィルターを使用してください。</x:v>
      </x:c>
      <x:c r="B4" s="49"/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  <x:c r="AA4" s="49"/>
    </x:row>
    <x:row r="5" ht="22" customHeight="1">
      <x:c r="A5" s="30"/>
      <x:c r="B5" s="30"/>
      <x:c r="C5" s="30"/>
      <x:c r="D5" s="30"/>
      <x:c r="E5" s="30"/>
      <x:c r="F5" s="30"/>
      <x:c r="G5" s="30"/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  <x:c r="AA5" s="30"/>
    </x:row>
    <x:row r="6" ht="38" customHeight="1">
      <x:c r="A6" s="53" t="str">
        <x:v>タスクID</x:v>
      </x:c>
      <x:c r="B6" s="53" t="str">
        <x:v>段階</x:v>
      </x:c>
      <x:c r="C6" s="53" t="str">
        <x:v>作業内容</x:v>
      </x:c>
      <x:c r="D6" s="53" t="str">
        <x:v>担当（仮）</x:v>
      </x:c>
      <x:c r="E6" s="53" t="str">
        <x:v>導入システム</x:v>
      </x:c>
      <x:c r="F6" s="53" t="str">
        <x:v>重要度</x:v>
      </x:c>
      <x:c r="G6" s="53" t="str">
        <x:v>ステータス</x:v>
      </x:c>
      <x:c r="H6" s="53" t="str">
        <x:v>管理工程</x:v>
      </x:c>
      <x:c r="I6" s="53" t="str">
        <x:v>対象</x:v>
      </x:c>
      <x:c r="J6" s="53" t="str">
        <x:v>先行ID①</x:v>
      </x:c>
      <x:c r="K6" s="53" t="str">
        <x:v>先行ID②</x:v>
      </x:c>
      <x:c r="L6" s="53" t="str">
        <x:v>先行ID③</x:v>
      </x:c>
      <x:c r="M6" s="53" t="str">
        <x:v>最早着手
営業日</x:v>
      </x:c>
      <x:c r="N6" s="53" t="str">
        <x:v>期間
営業日</x:v>
      </x:c>
      <x:c r="O6" s="53" t="str">
        <x:v>予定開始</x:v>
      </x:c>
      <x:c r="P6" s="53" t="str">
        <x:v>予定終了</x:v>
      </x:c>
      <x:c r="Q6" s="53" t="str">
        <x:v>実績開始</x:v>
      </x:c>
      <x:c r="R6" s="53" t="str">
        <x:v>実績終了</x:v>
      </x:c>
      <x:c r="S6" s="53" t="str">
        <x:v>総数量</x:v>
      </x:c>
      <x:c r="T6" s="53" t="str">
        <x:v>完了数量</x:v>
      </x:c>
      <x:c r="U6" s="53" t="str">
        <x:v>完成率</x:v>
      </x:c>
      <x:c r="V6" s="53" t="str">
        <x:v>進捗判定</x:v>
      </x:c>
      <x:c r="W6" s="53" t="str">
        <x:v>元資料No.</x:v>
      </x:c>
      <x:c r="X6" s="53" t="str">
        <x:v>反映区分</x:v>
      </x:c>
      <x:c r="Y6" s="53" t="str">
        <x:v>成果物・完了条件</x:v>
      </x:c>
      <x:c r="Z6" s="53" t="str">
        <x:v>確認事項・メモ</x:v>
      </x:c>
      <x:c r="AA6" s="53" t="str">
        <x:v>入力整合性</x:v>
      </x:c>
    </x:row>
    <x:row r="7" ht="54" customHeight="1">
      <x:c r="A7" s="134" t="str">
        <x:v>00001</x:v>
      </x:c>
      <x:c r="B7" s="186" t="str">
        <x:v>01.準備</x:v>
      </x:c>
      <x:c r="C7" s="59" t="str">
        <x:v>進め方・役割分担・課題管理ルールの整理</x:v>
      </x:c>
      <x:c r="D7" s="84" t="str">
        <x:v>PM（要確定）</x:v>
      </x:c>
      <x:c r="E7" s="59" t="str">
        <x:v>共通</x:v>
      </x:c>
      <x:c r="F7" s="142" t="str">
        <x:v>1.高</x:v>
      </x:c>
      <x:c r="G7" s="84" t="str">
        <x:v>00.未確認</x:v>
      </x:c>
      <x:c r="H7" s="148" t="str">
        <x:v>設計</x:v>
      </x:c>
      <x:c r="I7" s="59" t="str">
        <x:v>共通</x:v>
      </x:c>
      <x:c r="J7" s="156" t="str"/>
      <x:c r="K7" s="156" t="str"/>
      <x:c r="L7" s="156" t="str"/>
      <x:c r="M7" s="142" t="n">
        <x:v>1</x:v>
      </x:c>
      <x:c r="N7" s="142" t="n">
        <x:v>2</x:v>
      </x:c>
      <x:c r="O7" s="162" t="n">
        <x:f>IF(OR('設定'!$B$4="",N7=0),"",MAX(WORKDAY.INTL('設定'!$B$4-1,M7,'設定'!$B$6,'設定'!$J$4:$J$53)))</x:f>
        <x:v>46314</x:v>
      </x:c>
      <x:c r="P7" s="162" t="n">
        <x:f>IF(O7="","",WORKDAY.INTL(O7,N7-1,'設定'!$B$6,'設定'!$J$4:$J$53))</x:f>
        <x:v>46315</x:v>
      </x:c>
      <x:c r="Q7" s="168"/>
      <x:c r="R7" s="168"/>
      <x:c r="S7" s="142" t="n">
        <x:v>1</x:v>
      </x:c>
      <x:c r="T7" s="142" t="n">
        <x:v>0</x:v>
      </x:c>
      <x:c r="U7" s="174" t="n">
        <x:f>IFERROR(T7/S7,0)</x:f>
        <x:v>0</x:v>
      </x:c>
      <x:c r="V7" s="90" t="str">
        <x:f>IF(U7&gt;=1,IF(R7="","完了（実績日未確認）",IF(P7="","完了",IF(R7&gt;P7,"完了（遅延）","完了"))),IF(G7="04.保留","保留",IF(O7="","未計画",IF('設定'!$B$5&gt;P7,IF(G7="00.未確認","要確認（期限超過）","遅延"),IF('設定'!$B$5&gt;=O7,IF(G7="00.未確認","状況要確認",IF(Q7="","開始要確認","予定内")),"予定前")))))</x:f>
        <x:v>予定前</x:v>
      </x:c>
      <x:c r="W7" s="59" t="str">
        <x:v>1</x:v>
      </x:c>
      <x:c r="X7" s="59" t="str">
        <x:v>原資料展開</x:v>
      </x:c>
      <x:c r="Y7" s="59" t="str">
        <x:v>体制・会議体・課題管理・承認ルートを合意</x:v>
      </x:c>
      <x:c r="Z7" s="59" t="str"/>
      <x:c r="AA7" s="180" t="str">
        <x:f>IF(AND(J7="",K7="",L7="",COUNTIF($A$7:$A$107,A7)=1,AND(M7&gt;=1,MOD(M7,1)=0,N7&gt;=0,MOD(N7,1)=0,S7&gt;0,T7&gt;=0,T7&lt;=S7),OR(R7="",AND(Q7&lt;&gt;"",R7&gt;=Q7)),IF(OR(G7="05.完了",G7="06.完了（資料記載）"),U7=1,TRUE),IF(N7=0,U7=1,TRUE)),"OK","要確認")</x:f>
        <x:v>OK</x:v>
      </x:c>
    </x:row>
    <x:row r="8" ht="54" customHeight="1">
      <x:c r="A8" s="135" t="str">
        <x:v>00002</x:v>
      </x:c>
      <x:c r="B8" s="188" t="str">
        <x:v>01.準備</x:v>
      </x:c>
      <x:c r="C8" s="48" t="str">
        <x:v>対象5テーブルと開発スコープの確定</x:v>
      </x:c>
      <x:c r="D8" s="85" t="str">
        <x:v>PM／業務担当（要確定）</x:v>
      </x:c>
      <x:c r="E8" s="48" t="str">
        <x:v>Dataiku／Fabric</x:v>
      </x:c>
      <x:c r="F8" s="143" t="str">
        <x:v>1.高</x:v>
      </x:c>
      <x:c r="G8" s="85" t="str">
        <x:v>00.未確認</x:v>
      </x:c>
      <x:c r="H8" s="149" t="str">
        <x:v>設計</x:v>
      </x:c>
      <x:c r="I8" s="48" t="str">
        <x:v>共通</x:v>
      </x:c>
      <x:c r="J8" s="157" t="str">
        <x:v>00001</x:v>
      </x:c>
      <x:c r="K8" s="157" t="str"/>
      <x:c r="L8" s="157" t="str"/>
      <x:c r="M8" s="143" t="n">
        <x:v>1</x:v>
      </x:c>
      <x:c r="N8" s="143" t="n">
        <x:v>2</x:v>
      </x:c>
      <x:c r="O8" s="163" t="n">
        <x:f>IF(OR('設定'!$B$4="",N8=0),"",MAX(WORKDAY.INTL('設定'!$B$4-1,M8,'設定'!$B$6,'設定'!$J$4:$J$53),IF(J8="",0,IF(J8=$A$7,IFERROR(IF($P$7=0,0,WORKDAY.INTL($P$7,1,'設定'!$B$6,'設定'!$J$4:$J$53)),0),0)),IF(K8="",0,IF(K8=$A$7,IFERROR(IF($P$7=0,0,WORKDAY.INTL($P$7,1,'設定'!$B$6,'設定'!$J$4:$J$53)),0),0)),IF(L8="",0,IF(L8=$A$7,IFERROR(IF($P$7=0,0,WORKDAY.INTL($P$7,1,'設定'!$B$6,'設定'!$J$4:$J$53)),0),0))))</x:f>
        <x:v>46316</x:v>
      </x:c>
      <x:c r="P8" s="163" t="n">
        <x:f>IF(O8="","",WORKDAY.INTL(O8,N8-1,'設定'!$B$6,'設定'!$J$4:$J$53))</x:f>
        <x:v>46317</x:v>
      </x:c>
      <x:c r="Q8" s="169"/>
      <x:c r="R8" s="169"/>
      <x:c r="S8" s="143" t="n">
        <x:v>1</x:v>
      </x:c>
      <x:c r="T8" s="143" t="n">
        <x:v>0</x:v>
      </x:c>
      <x:c r="U8" s="175" t="n">
        <x:f>IFERROR(T8/S8,0)</x:f>
        <x:v>0</x:v>
      </x:c>
      <x:c r="V8" s="91" t="str">
        <x:f>IF(U8&gt;=1,IF(R8="","完了（実績日未確認）",IF(P8="","完了",IF(R8&gt;P8,"完了（遅延）","完了"))),IF(G8="04.保留","保留",IF(O8="","未計画",IF('設定'!$B$5&gt;P8,IF(G8="00.未確認","要確認（期限超過）","遅延"),IF('設定'!$B$5&gt;=O8,IF(G8="00.未確認","状況要確認",IF(Q8="","開始要確認","予定内")),"予定前")))))</x:f>
        <x:v>予定前</x:v>
      </x:c>
      <x:c r="W8" s="48" t="str">
        <x:v>2</x:v>
      </x:c>
      <x:c r="X8" s="48" t="str">
        <x:v>原資料展開</x:v>
      </x:c>
      <x:c r="Y8" s="48" t="str">
        <x:v>Product等5テーブルを対象として合意</x:v>
      </x:c>
      <x:c r="Z8" s="48" t="str">
        <x:v>HospitalSalesAmountは対象外。</x:v>
      </x:c>
      <x:c r="AA8" s="181" t="str">
        <x:f>IF(AND(IF(J8="",TRUE,COUNTIF($A$7:$A$7,J8)=1),IF(K8="",TRUE,COUNTIF($A$7:$A$7,K8)=1),IF(L8="",TRUE,COUNTIF($A$7:$A$7,L8)=1),COUNTIF($A$7:$A$107,A8)=1,AND(M8&gt;=1,MOD(M8,1)=0,N8&gt;=0,MOD(N8,1)=0,S8&gt;0,T8&gt;=0,T8&lt;=S8),OR(R8="",AND(Q8&lt;&gt;"",R8&gt;=Q8)),IF(OR(G8="05.完了",G8="06.完了（資料記載）"),U8=1,TRUE),IF(N8=0,U8=1,TRUE)),"OK","要確認")</x:f>
        <x:v>OK</x:v>
      </x:c>
    </x:row>
    <x:row r="9" ht="54" customHeight="1">
      <x:c r="A9" s="136" t="str">
        <x:v>00003</x:v>
      </x:c>
      <x:c r="B9" s="188" t="str">
        <x:v>01.準備</x:v>
      </x:c>
      <x:c r="C9" s="56" t="str">
        <x:v>目的・前提条件・完了条件の共有</x:v>
      </x:c>
      <x:c r="D9" s="85" t="str">
        <x:v>PM（要確定）</x:v>
      </x:c>
      <x:c r="E9" s="56" t="str">
        <x:v>共通</x:v>
      </x:c>
      <x:c r="F9" s="143" t="str">
        <x:v>2.中</x:v>
      </x:c>
      <x:c r="G9" s="85" t="str">
        <x:v>00.未確認</x:v>
      </x:c>
      <x:c r="H9" s="150" t="str">
        <x:v>設計</x:v>
      </x:c>
      <x:c r="I9" s="56" t="str">
        <x:v>共通</x:v>
      </x:c>
      <x:c r="J9" s="157" t="str">
        <x:v>00002</x:v>
      </x:c>
      <x:c r="K9" s="157" t="str"/>
      <x:c r="L9" s="157" t="str"/>
      <x:c r="M9" s="143" t="n">
        <x:v>1</x:v>
      </x:c>
      <x:c r="N9" s="143" t="n">
        <x:v>1</x:v>
      </x:c>
      <x:c r="O9" s="163" t="n">
        <x:f>IF(OR('設定'!$B$4="",N9=0),"",MAX(WORKDAY.INTL('設定'!$B$4-1,M9,'設定'!$B$6,'設定'!$J$4:$J$53),IF(J9="",0,IF(COUNTIF($A$7:$A$8,J9)=1,IFERROR(IF(INDEX($P$7:$P$8,MATCH(J9,$A$7:$A$8,0),1)=0,0,WORKDAY.INTL(INDEX($P$7:$P$8,MATCH(J9,$A$7:$A$8,0),1),1,'設定'!$B$6,'設定'!$J$4:$J$53)),0),0)),IF(K9="",0,IF(COUNTIF($A$7:$A$8,K9)=1,IFERROR(IF(INDEX($P$7:$P$8,MATCH(K9,$A$7:$A$8,0),1)=0,0,WORKDAY.INTL(INDEX($P$7:$P$8,MATCH(K9,$A$7:$A$8,0),1),1,'設定'!$B$6,'設定'!$J$4:$J$53)),0),0)),IF(L9="",0,IF(COUNTIF($A$7:$A$8,L9)=1,IFERROR(IF(INDEX($P$7:$P$8,MATCH(L9,$A$7:$A$8,0),1)=0,0,WORKDAY.INTL(INDEX($P$7:$P$8,MATCH(L9,$A$7:$A$8,0),1),1,'設定'!$B$6,'設定'!$J$4:$J$53)),0),0))))</x:f>
        <x:v>46318</x:v>
      </x:c>
      <x:c r="P9" s="163" t="n">
        <x:f>IF(O9="","",WORKDAY.INTL(O9,N9-1,'設定'!$B$6,'設定'!$J$4:$J$53))</x:f>
        <x:v>46318</x:v>
      </x:c>
      <x:c r="Q9" s="169"/>
      <x:c r="R9" s="169"/>
      <x:c r="S9" s="143" t="n">
        <x:v>1</x:v>
      </x:c>
      <x:c r="T9" s="143" t="n">
        <x:v>0</x:v>
      </x:c>
      <x:c r="U9" s="175" t="n">
        <x:f>IFERROR(T9/S9,0)</x:f>
        <x:v>0</x:v>
      </x:c>
      <x:c r="V9" s="91" t="str">
        <x:f>IF(U9&gt;=1,IF(R9="","完了（実績日未確認）",IF(P9="","完了",IF(R9&gt;P9,"完了（遅延）","完了"))),IF(G9="04.保留","保留",IF(O9="","未計画",IF('設定'!$B$5&gt;P9,IF(G9="00.未確認","要確認（期限超過）","遅延"),IF('設定'!$B$5&gt;=O9,IF(G9="00.未確認","状況要確認",IF(Q9="","開始要確認","予定内")),"予定前")))))</x:f>
        <x:v>予定前</x:v>
      </x:c>
      <x:c r="W9" s="56" t="str">
        <x:v>3</x:v>
      </x:c>
      <x:c r="X9" s="56" t="str">
        <x:v>原資料展開</x:v>
      </x:c>
      <x:c r="Y9" s="56" t="str">
        <x:v>前提条件・目的・完了条件の合意記録</x:v>
      </x:c>
      <x:c r="Z9" s="56" t="str"/>
      <x:c r="AA9" s="181" t="str">
        <x:f>IF(AND(IF(J9="",TRUE,COUNTIF($A$7:$A$8,J9)=1),IF(K9="",TRUE,COUNTIF($A$7:$A$8,K9)=1),IF(L9="",TRUE,COUNTIF($A$7:$A$8,L9)=1),COUNTIF($A$7:$A$107,A9)=1,AND(M9&gt;=1,MOD(M9,1)=0,N9&gt;=0,MOD(N9,1)=0,S9&gt;0,T9&gt;=0,T9&lt;=S9),OR(R9="",AND(Q9&lt;&gt;"",R9&gt;=Q9)),IF(OR(G9="05.完了",G9="06.完了（資料記載）"),U9=1,TRUE),IF(N9=0,U9=1,TRUE)),"OK","要確認")</x:f>
        <x:v>OK</x:v>
      </x:c>
    </x:row>
    <x:row r="10" ht="54" customHeight="1">
      <x:c r="A10" s="135" t="str">
        <x:v>00004</x:v>
      </x:c>
      <x:c r="B10" s="188" t="str">
        <x:v>01.準備</x:v>
      </x:c>
      <x:c r="C10" s="190" t="str">
        <x:v>現行アーキテクチャ確認（資料上完了）</x:v>
      </x:c>
      <x:c r="D10" s="85" t="str">
        <x:v>確認担当（要確定）</x:v>
      </x:c>
      <x:c r="E10" s="48" t="str">
        <x:v>Dataiku</x:v>
      </x:c>
      <x:c r="F10" s="143" t="str">
        <x:v>2.中</x:v>
      </x:c>
      <x:c r="G10" s="85" t="str">
        <x:v>06.完了（資料記載）</x:v>
      </x:c>
      <x:c r="H10" s="149" t="str">
        <x:v>設計</x:v>
      </x:c>
      <x:c r="I10" s="48" t="str">
        <x:v>共通</x:v>
      </x:c>
      <x:c r="J10" s="157" t="str"/>
      <x:c r="K10" s="157" t="str"/>
      <x:c r="L10" s="157" t="str"/>
      <x:c r="M10" s="143" t="n">
        <x:v>1</x:v>
      </x:c>
      <x:c r="N10" s="143" t="n">
        <x:v>0</x:v>
      </x:c>
      <x:c r="O10" s="163" t="str">
        <x:f>IF(OR('設定'!$B$4="",N10=0),"",MAX(WORKDAY.INTL('設定'!$B$4-1,M10,'設定'!$B$6,'設定'!$J$4:$J$53),IF(J10="",0,IF(COUNTIF($A$7:$A$9,J10)=1,IFERROR(IF(INDEX($P$7:$P$9,MATCH(J10,$A$7:$A$9,0),1)=0,0,WORKDAY.INTL(INDEX($P$7:$P$9,MATCH(J10,$A$7:$A$9,0),1),1,'設定'!$B$6,'設定'!$J$4:$J$53)),0),0)),IF(K10="",0,IF(COUNTIF($A$7:$A$9,K10)=1,IFERROR(IF(INDEX($P$7:$P$9,MATCH(K10,$A$7:$A$9,0),1)=0,0,WORKDAY.INTL(INDEX($P$7:$P$9,MATCH(K10,$A$7:$A$9,0),1),1,'設定'!$B$6,'設定'!$J$4:$J$53)),0),0)),IF(L10="",0,IF(COUNTIF($A$7:$A$9,L10)=1,IFERROR(IF(INDEX($P$7:$P$9,MATCH(L10,$A$7:$A$9,0),1)=0,0,WORKDAY.INTL(INDEX($P$7:$P$9,MATCH(L10,$A$7:$A$9,0),1),1,'設定'!$B$6,'設定'!$J$4:$J$53)),0),0))))</x:f>
      </x:c>
      <x:c r="P10" s="163" t="str">
        <x:f>IF(O10="","",WORKDAY.INTL(O10,N10-1,'設定'!$B$6,'設定'!$J$4:$J$53))</x:f>
      </x:c>
      <x:c r="Q10" s="169"/>
      <x:c r="R10" s="169"/>
      <x:c r="S10" s="143" t="n">
        <x:v>1</x:v>
      </x:c>
      <x:c r="T10" s="143" t="n">
        <x:v>1</x:v>
      </x:c>
      <x:c r="U10" s="175" t="n">
        <x:f>IFERROR(T10/S10,0)</x:f>
        <x:v>1</x:v>
      </x:c>
      <x:c r="V10" s="91" t="str">
        <x:f>IF(U10&gt;=1,IF(R10="","完了（実績日未確認）",IF(P10="","完了",IF(R10&gt;P10,"完了（遅延）","完了"))),IF(G10="04.保留","保留",IF(O10="","未計画",IF('設定'!$B$5&gt;P10,IF(G10="00.未確認","要確認（期限超過）","遅延"),IF('設定'!$B$5&gt;=O10,IF(G10="00.未確認","状況要確認",IF(Q10="","開始要確認","予定内")),"予定前")))))</x:f>
        <x:v>完了（実績日未確認）</x:v>
      </x:c>
      <x:c r="W10" s="48" t="str">
        <x:v>5</x:v>
      </x:c>
      <x:c r="X10" s="48" t="str">
        <x:v>原資料展開</x:v>
      </x:c>
      <x:c r="Y10" s="48" t="str">
        <x:v>As-Is構成の確認結果</x:v>
      </x:c>
      <x:c r="Z10" s="48" t="str">
        <x:v>元資料に「→OK」。実績日・承認は未確認。新規計画期間は0。</x:v>
      </x:c>
      <x:c r="AA10" s="181" t="str">
        <x:f>IF(AND(IF(J10="",TRUE,COUNTIF($A$7:$A$9,J10)=1),IF(K10="",TRUE,COUNTIF($A$7:$A$9,K10)=1),IF(L10="",TRUE,COUNTIF($A$7:$A$9,L10)=1),COUNTIF($A$7:$A$107,A10)=1,AND(M10&gt;=1,MOD(M10,1)=0,N10&gt;=0,MOD(N10,1)=0,S10&gt;0,T10&gt;=0,T10&lt;=S10),OR(R10="",AND(Q10&lt;&gt;"",R10&gt;=Q10)),IF(OR(G10="05.完了",G10="06.完了（資料記載）"),U10=1,TRUE),IF(N10=0,U10=1,TRUE)),"OK","要確認")</x:f>
        <x:v>OK</x:v>
      </x:c>
    </x:row>
    <x:row r="11" ht="54" customHeight="1">
      <x:c r="A11" s="136" t="str">
        <x:v>00005</x:v>
      </x:c>
      <x:c r="B11" s="188" t="str">
        <x:v>01.準備</x:v>
      </x:c>
      <x:c r="C11" s="190" t="str">
        <x:v>Dataiku既存処理確認（資料上完了）</x:v>
      </x:c>
      <x:c r="D11" s="85" t="str">
        <x:v>確認担当（要確定）</x:v>
      </x:c>
      <x:c r="E11" s="56" t="str">
        <x:v>Dataiku</x:v>
      </x:c>
      <x:c r="F11" s="143" t="str">
        <x:v>2.中</x:v>
      </x:c>
      <x:c r="G11" s="85" t="str">
        <x:v>06.完了（資料記載）</x:v>
      </x:c>
      <x:c r="H11" s="150" t="str">
        <x:v>設計</x:v>
      </x:c>
      <x:c r="I11" s="56" t="str">
        <x:v>共通</x:v>
      </x:c>
      <x:c r="J11" s="157" t="str"/>
      <x:c r="K11" s="157" t="str"/>
      <x:c r="L11" s="157" t="str"/>
      <x:c r="M11" s="143" t="n">
        <x:v>1</x:v>
      </x:c>
      <x:c r="N11" s="143" t="n">
        <x:v>0</x:v>
      </x:c>
      <x:c r="O11" s="163" t="str">
        <x:f>IF(OR('設定'!$B$4="",N11=0),"",MAX(WORKDAY.INTL('設定'!$B$4-1,M11,'設定'!$B$6,'設定'!$J$4:$J$53),IF(J11="",0,IF(COUNTIF($A$7:$A$10,J11)=1,IFERROR(IF(INDEX($P$7:$P$10,MATCH(J11,$A$7:$A$10,0),1)=0,0,WORKDAY.INTL(INDEX($P$7:$P$10,MATCH(J11,$A$7:$A$10,0),1),1,'設定'!$B$6,'設定'!$J$4:$J$53)),0),0)),IF(K11="",0,IF(COUNTIF($A$7:$A$10,K11)=1,IFERROR(IF(INDEX($P$7:$P$10,MATCH(K11,$A$7:$A$10,0),1)=0,0,WORKDAY.INTL(INDEX($P$7:$P$10,MATCH(K11,$A$7:$A$10,0),1),1,'設定'!$B$6,'設定'!$J$4:$J$53)),0),0)),IF(L11="",0,IF(COUNTIF($A$7:$A$10,L11)=1,IFERROR(IF(INDEX($P$7:$P$10,MATCH(L11,$A$7:$A$10,0),1)=0,0,WORKDAY.INTL(INDEX($P$7:$P$10,MATCH(L11,$A$7:$A$10,0),1),1,'設定'!$B$6,'設定'!$J$4:$J$53)),0),0))))</x:f>
      </x:c>
      <x:c r="P11" s="163" t="str">
        <x:f>IF(O11="","",WORKDAY.INTL(O11,N11-1,'設定'!$B$6,'設定'!$J$4:$J$53))</x:f>
      </x:c>
      <x:c r="Q11" s="169"/>
      <x:c r="R11" s="169"/>
      <x:c r="S11" s="143" t="n">
        <x:v>1</x:v>
      </x:c>
      <x:c r="T11" s="143" t="n">
        <x:v>1</x:v>
      </x:c>
      <x:c r="U11" s="175" t="n">
        <x:f>IFERROR(T11/S11,0)</x:f>
        <x:v>1</x:v>
      </x:c>
      <x:c r="V11" s="91" t="str">
        <x:f>IF(U11&gt;=1,IF(R11="","完了（実績日未確認）",IF(P11="","完了",IF(R11&gt;P11,"完了（遅延）","完了"))),IF(G11="04.保留","保留",IF(O11="","未計画",IF('設定'!$B$5&gt;P11,IF(G11="00.未確認","要確認（期限超過）","遅延"),IF('設定'!$B$5&gt;=O11,IF(G11="00.未確認","状況要確認",IF(Q11="","開始要確認","予定内")),"予定前")))))</x:f>
        <x:v>完了（実績日未確認）</x:v>
      </x:c>
      <x:c r="W11" s="56" t="str">
        <x:v>6</x:v>
      </x:c>
      <x:c r="X11" s="56" t="str">
        <x:v>原資料展開</x:v>
      </x:c>
      <x:c r="Y11" s="56" t="str">
        <x:v>既存処理調査結果</x:v>
      </x:c>
      <x:c r="Z11" s="56" t="str">
        <x:v>元資料に「→完了済み」。OUTPUTテーブル名・列名・型の確定は要件タスクで実施。</x:v>
      </x:c>
      <x:c r="AA11" s="181" t="str">
        <x:f>IF(AND(IF(J11="",TRUE,COUNTIF($A$7:$A$10,J11)=1),IF(K11="",TRUE,COUNTIF($A$7:$A$10,K11)=1),IF(L11="",TRUE,COUNTIF($A$7:$A$10,L11)=1),COUNTIF($A$7:$A$107,A11)=1,AND(M11&gt;=1,MOD(M11,1)=0,N11&gt;=0,MOD(N11,1)=0,S11&gt;0,T11&gt;=0,T11&lt;=S11),OR(R11="",AND(Q11&lt;&gt;"",R11&gt;=Q11)),IF(OR(G11="05.完了",G11="06.完了（資料記載）"),U11=1,TRUE),IF(N11=0,U11=1,TRUE)),"OK","要確認")</x:f>
        <x:v>OK</x:v>
      </x:c>
    </x:row>
    <x:row r="12" ht="54" customHeight="1">
      <x:c r="A12" s="135" t="str">
        <x:v>00006</x:v>
      </x:c>
      <x:c r="B12" s="188" t="str">
        <x:v>01.準備</x:v>
      </x:c>
      <x:c r="C12" s="48" t="str">
        <x:v>更新頻度・更新時刻・SLAの確認</x:v>
      </x:c>
      <x:c r="D12" s="85" t="str">
        <x:v>PM／業務担当（要確定）</x:v>
      </x:c>
      <x:c r="E12" s="48" t="str">
        <x:v>Dataiku／Dataverse</x:v>
      </x:c>
      <x:c r="F12" s="143" t="str">
        <x:v>1.高</x:v>
      </x:c>
      <x:c r="G12" s="85" t="str">
        <x:v>00.未確認</x:v>
      </x:c>
      <x:c r="H12" s="149" t="str">
        <x:v>設計</x:v>
      </x:c>
      <x:c r="I12" s="48" t="str">
        <x:v>共通</x:v>
      </x:c>
      <x:c r="J12" s="157" t="str">
        <x:v>00003</x:v>
      </x:c>
      <x:c r="K12" s="157" t="str">
        <x:v>00005</x:v>
      </x:c>
      <x:c r="L12" s="157" t="str"/>
      <x:c r="M12" s="143" t="n">
        <x:v>1</x:v>
      </x:c>
      <x:c r="N12" s="143" t="n">
        <x:v>2</x:v>
      </x:c>
      <x:c r="O12" s="163" t="n">
        <x:f>IF(OR('設定'!$B$4="",N12=0),"",MAX(WORKDAY.INTL('設定'!$B$4-1,M12,'設定'!$B$6,'設定'!$J$4:$J$53),IF(J12="",0,IF(COUNTIF($A$7:$A$11,J12)=1,IFERROR(IF(INDEX($P$7:$P$11,MATCH(J12,$A$7:$A$11,0),1)=0,0,WORKDAY.INTL(INDEX($P$7:$P$11,MATCH(J12,$A$7:$A$11,0),1),1,'設定'!$B$6,'設定'!$J$4:$J$53)),0),0)),IF(K12="",0,IF(COUNTIF($A$7:$A$11,K12)=1,IFERROR(IF(INDEX($P$7:$P$11,MATCH(K12,$A$7:$A$11,0),1)=0,0,WORKDAY.INTL(INDEX($P$7:$P$11,MATCH(K12,$A$7:$A$11,0),1),1,'設定'!$B$6,'設定'!$J$4:$J$53)),0),0)),IF(L12="",0,IF(COUNTIF($A$7:$A$11,L12)=1,IFERROR(IF(INDEX($P$7:$P$11,MATCH(L12,$A$7:$A$11,0),1)=0,0,WORKDAY.INTL(INDEX($P$7:$P$11,MATCH(L12,$A$7:$A$11,0),1),1,'設定'!$B$6,'設定'!$J$4:$J$53)),0),0))))</x:f>
        <x:v>46321</x:v>
      </x:c>
      <x:c r="P12" s="163" t="n">
        <x:f>IF(O12="","",WORKDAY.INTL(O12,N12-1,'設定'!$B$6,'設定'!$J$4:$J$53))</x:f>
        <x:v>46322</x:v>
      </x:c>
      <x:c r="Q12" s="169"/>
      <x:c r="R12" s="169"/>
      <x:c r="S12" s="143" t="n">
        <x:v>1</x:v>
      </x:c>
      <x:c r="T12" s="143" t="n">
        <x:v>0</x:v>
      </x:c>
      <x:c r="U12" s="175" t="n">
        <x:f>IFERROR(T12/S12,0)</x:f>
        <x:v>0</x:v>
      </x:c>
      <x:c r="V12" s="91" t="str">
        <x:f>IF(U12&gt;=1,IF(R12="","完了（実績日未確認）",IF(P12="","完了",IF(R12&gt;P12,"完了（遅延）","完了"))),IF(G12="04.保留","保留",IF(O12="","未計画",IF('設定'!$B$5&gt;P12,IF(G12="00.未確認","要確認（期限超過）","遅延"),IF('設定'!$B$5&gt;=O12,IF(G12="00.未確認","状況要確認",IF(Q12="","開始要確認","予定内")),"予定前")))))</x:f>
        <x:v>予定前</x:v>
      </x:c>
      <x:c r="W12" s="48" t="str">
        <x:v>7</x:v>
      </x:c>
      <x:c r="X12" s="48" t="str">
        <x:v>原資料展開</x:v>
      </x:c>
      <x:c r="Y12" s="48" t="str">
        <x:v>更新スケジュールと許容時間の合意</x:v>
      </x:c>
      <x:c r="Z12" s="48" t="str">
        <x:v>Dataverseへの反映が8時ごろでよいか、冨士谷さんに確認。</x:v>
      </x:c>
      <x:c r="AA12" s="181" t="str">
        <x:f>IF(AND(IF(J12="",TRUE,COUNTIF($A$7:$A$11,J12)=1),IF(K12="",TRUE,COUNTIF($A$7:$A$11,K12)=1),IF(L12="",TRUE,COUNTIF($A$7:$A$11,L12)=1),COUNTIF($A$7:$A$107,A12)=1,AND(M12&gt;=1,MOD(M12,1)=0,N12&gt;=0,MOD(N12,1)=0,S12&gt;0,T12&gt;=0,T12&lt;=S12),OR(R12="",AND(Q12&lt;&gt;"",R12&gt;=Q12)),IF(OR(G12="05.完了",G12="06.完了（資料記載）"),U12=1,TRUE),IF(N12=0,U12=1,TRUE)),"OK","要確認")</x:f>
        <x:v>OK</x:v>
      </x:c>
    </x:row>
    <x:row r="13" ht="54" customHeight="1">
      <x:c r="A13" s="136" t="str">
        <x:v>00007</x:v>
      </x:c>
      <x:c r="B13" s="188" t="str">
        <x:v>01.準備</x:v>
      </x:c>
      <x:c r="C13" s="56" t="str">
        <x:v>例外処理・エラー通知先の整理</x:v>
      </x:c>
      <x:c r="D13" s="85" t="str">
        <x:v>運用担当（要確定）</x:v>
      </x:c>
      <x:c r="E13" s="56" t="str">
        <x:v>Dataiku／メール</x:v>
      </x:c>
      <x:c r="F13" s="143" t="str">
        <x:v>2.中</x:v>
      </x:c>
      <x:c r="G13" s="85" t="str">
        <x:v>00.未確認</x:v>
      </x:c>
      <x:c r="H13" s="150" t="str">
        <x:v>設計</x:v>
      </x:c>
      <x:c r="I13" s="56" t="str">
        <x:v>共通</x:v>
      </x:c>
      <x:c r="J13" s="157" t="str">
        <x:v>00003</x:v>
      </x:c>
      <x:c r="K13" s="157" t="str">
        <x:v>00005</x:v>
      </x:c>
      <x:c r="L13" s="157" t="str"/>
      <x:c r="M13" s="143" t="n">
        <x:v>1</x:v>
      </x:c>
      <x:c r="N13" s="143" t="n">
        <x:v>2</x:v>
      </x:c>
      <x:c r="O13" s="163" t="n">
        <x:f>IF(OR('設定'!$B$4="",N13=0),"",MAX(WORKDAY.INTL('設定'!$B$4-1,M13,'設定'!$B$6,'設定'!$J$4:$J$53),IF(J13="",0,IF(COUNTIF($A$7:$A$12,J13)=1,IFERROR(IF(INDEX($P$7:$P$12,MATCH(J13,$A$7:$A$12,0),1)=0,0,WORKDAY.INTL(INDEX($P$7:$P$12,MATCH(J13,$A$7:$A$12,0),1),1,'設定'!$B$6,'設定'!$J$4:$J$53)),0),0)),IF(K13="",0,IF(COUNTIF($A$7:$A$12,K13)=1,IFERROR(IF(INDEX($P$7:$P$12,MATCH(K13,$A$7:$A$12,0),1)=0,0,WORKDAY.INTL(INDEX($P$7:$P$12,MATCH(K13,$A$7:$A$12,0),1),1,'設定'!$B$6,'設定'!$J$4:$J$53)),0),0)),IF(L13="",0,IF(COUNTIF($A$7:$A$12,L13)=1,IFERROR(IF(INDEX($P$7:$P$12,MATCH(L13,$A$7:$A$12,0),1)=0,0,WORKDAY.INTL(INDEX($P$7:$P$12,MATCH(L13,$A$7:$A$12,0),1),1,'設定'!$B$6,'設定'!$J$4:$J$53)),0),0))))</x:f>
        <x:v>46321</x:v>
      </x:c>
      <x:c r="P13" s="163" t="n">
        <x:f>IF(O13="","",WORKDAY.INTL(O13,N13-1,'設定'!$B$6,'設定'!$J$4:$J$53))</x:f>
        <x:v>46322</x:v>
      </x:c>
      <x:c r="Q13" s="169"/>
      <x:c r="R13" s="169"/>
      <x:c r="S13" s="143" t="n">
        <x:v>1</x:v>
      </x:c>
      <x:c r="T13" s="143" t="n">
        <x:v>0</x:v>
      </x:c>
      <x:c r="U13" s="175" t="n">
        <x:f>IFERROR(T13/S13,0)</x:f>
        <x:v>0</x:v>
      </x:c>
      <x:c r="V13" s="91" t="str">
        <x:f>IF(U13&gt;=1,IF(R13="","完了（実績日未確認）",IF(P13="","完了",IF(R13&gt;P13,"完了（遅延）","完了"))),IF(G13="04.保留","保留",IF(O13="","未計画",IF('設定'!$B$5&gt;P13,IF(G13="00.未確認","要確認（期限超過）","遅延"),IF('設定'!$B$5&gt;=O13,IF(G13="00.未確認","状況要確認",IF(Q13="","開始要確認","予定内")),"予定前")))))</x:f>
        <x:v>予定前</x:v>
      </x:c>
      <x:c r="W13" s="56" t="str">
        <x:v>8</x:v>
      </x:c>
      <x:c r="X13" s="56" t="str">
        <x:v>原資料展開</x:v>
      </x:c>
      <x:c r="Y13" s="56" t="str">
        <x:v>エラー分類・通知条件・宛先一覧</x:v>
      </x:c>
      <x:c r="Z13" s="56" t="str">
        <x:v>メール送信先は要相談。</x:v>
      </x:c>
      <x:c r="AA13" s="181" t="str">
        <x:f>IF(AND(IF(J13="",TRUE,COUNTIF($A$7:$A$12,J13)=1),IF(K13="",TRUE,COUNTIF($A$7:$A$12,K13)=1),IF(L13="",TRUE,COUNTIF($A$7:$A$12,L13)=1),COUNTIF($A$7:$A$107,A13)=1,AND(M13&gt;=1,MOD(M13,1)=0,N13&gt;=0,MOD(N13,1)=0,S13&gt;0,T13&gt;=0,T13&lt;=S13),OR(R13="",AND(Q13&lt;&gt;"",R13&gt;=Q13)),IF(OR(G13="05.完了",G13="06.完了（資料記載）"),U13=1,TRUE),IF(N13=0,U13=1,TRUE)),"OK","要確認")</x:f>
        <x:v>OK</x:v>
      </x:c>
    </x:row>
    <x:row r="14" ht="54" customHeight="1">
      <x:c r="A14" s="135" t="str">
        <x:v>00008</x:v>
      </x:c>
      <x:c r="B14" s="188" t="str">
        <x:v>01.準備</x:v>
      </x:c>
      <x:c r="C14" s="48" t="str">
        <x:v>INPUT確定・Redshift更新時刻の調査</x:v>
      </x:c>
      <x:c r="D14" s="85" t="str">
        <x:v>データソース担当（要確定）</x:v>
      </x:c>
      <x:c r="E14" s="48" t="str">
        <x:v>Redshift／Iris</x:v>
      </x:c>
      <x:c r="F14" s="143" t="str">
        <x:v>1.高</x:v>
      </x:c>
      <x:c r="G14" s="85" t="str">
        <x:v>00.未確認</x:v>
      </x:c>
      <x:c r="H14" s="149" t="str">
        <x:v>設計</x:v>
      </x:c>
      <x:c r="I14" s="48" t="str">
        <x:v>共通</x:v>
      </x:c>
      <x:c r="J14" s="157" t="str">
        <x:v>00002</x:v>
      </x:c>
      <x:c r="K14" s="157" t="str">
        <x:v>00005</x:v>
      </x:c>
      <x:c r="L14" s="157" t="str"/>
      <x:c r="M14" s="143" t="n">
        <x:v>1</x:v>
      </x:c>
      <x:c r="N14" s="143" t="n">
        <x:v>2</x:v>
      </x:c>
      <x:c r="O14" s="163" t="n">
        <x:f>IF(OR('設定'!$B$4="",N14=0),"",MAX(WORKDAY.INTL('設定'!$B$4-1,M14,'設定'!$B$6,'設定'!$J$4:$J$53),IF(J14="",0,IF(COUNTIF($A$7:$A$13,J14)=1,IFERROR(IF(INDEX($P$7:$P$13,MATCH(J14,$A$7:$A$13,0),1)=0,0,WORKDAY.INTL(INDEX($P$7:$P$13,MATCH(J14,$A$7:$A$13,0),1),1,'設定'!$B$6,'設定'!$J$4:$J$53)),0),0)),IF(K14="",0,IF(COUNTIF($A$7:$A$13,K14)=1,IFERROR(IF(INDEX($P$7:$P$13,MATCH(K14,$A$7:$A$13,0),1)=0,0,WORKDAY.INTL(INDEX($P$7:$P$13,MATCH(K14,$A$7:$A$13,0),1),1,'設定'!$B$6,'設定'!$J$4:$J$53)),0),0)),IF(L14="",0,IF(COUNTIF($A$7:$A$13,L14)=1,IFERROR(IF(INDEX($P$7:$P$13,MATCH(L14,$A$7:$A$13,0),1)=0,0,WORKDAY.INTL(INDEX($P$7:$P$13,MATCH(L14,$A$7:$A$13,0),1),1,'設定'!$B$6,'設定'!$J$4:$J$53)),0),0))))</x:f>
        <x:v>46318</x:v>
      </x:c>
      <x:c r="P14" s="163" t="n">
        <x:f>IF(O14="","",WORKDAY.INTL(O14,N14-1,'設定'!$B$6,'設定'!$J$4:$J$53))</x:f>
        <x:v>46321</x:v>
      </x:c>
      <x:c r="Q14" s="169"/>
      <x:c r="R14" s="169"/>
      <x:c r="S14" s="143" t="n">
        <x:v>1</x:v>
      </x:c>
      <x:c r="T14" s="143" t="n">
        <x:v>0</x:v>
      </x:c>
      <x:c r="U14" s="175" t="n">
        <x:f>IFERROR(T14/S14,0)</x:f>
        <x:v>0</x:v>
      </x:c>
      <x:c r="V14" s="91" t="str">
        <x:f>IF(U14&gt;=1,IF(R14="","完了（実績日未確認）",IF(P14="","完了",IF(R14&gt;P14,"完了（遅延）","完了"))),IF(G14="04.保留","保留",IF(O14="","未計画",IF('設定'!$B$5&gt;P14,IF(G14="00.未確認","要確認（期限超過）","遅延"),IF('設定'!$B$5&gt;=O14,IF(G14="00.未確認","状況要確認",IF(Q14="","開始要確認","予定内")),"予定前")))))</x:f>
        <x:v>予定前</x:v>
      </x:c>
      <x:c r="W14" s="48" t="str">
        <x:v>9</x:v>
      </x:c>
      <x:c r="X14" s="48" t="str">
        <x:v>原資料展開</x:v>
      </x:c>
      <x:c r="Y14" s="48" t="str">
        <x:v>INPUTテーブル一覧・最新データ時刻の回答</x:v>
      </x:c>
      <x:c r="Z14" s="48" t="str">
        <x:v>INPUT確定後にIrisチケット起票。テーブルリストを添付。</x:v>
      </x:c>
      <x:c r="AA14" s="181" t="str">
        <x:f>IF(AND(IF(J14="",TRUE,COUNTIF($A$7:$A$13,J14)=1),IF(K14="",TRUE,COUNTIF($A$7:$A$13,K14)=1),IF(L14="",TRUE,COUNTIF($A$7:$A$13,L14)=1),COUNTIF($A$7:$A$107,A14)=1,AND(M14&gt;=1,MOD(M14,1)=0,N14&gt;=0,MOD(N14,1)=0,S14&gt;0,T14&gt;=0,T14&lt;=S14),OR(R14="",AND(Q14&lt;&gt;"",R14&gt;=Q14)),IF(OR(G14="05.完了",G14="06.完了（資料記載）"),U14=1,TRUE),IF(N14=0,U14=1,TRUE)),"OK","要確認")</x:f>
        <x:v>OK</x:v>
      </x:c>
    </x:row>
    <x:row r="15" ht="54" customHeight="1">
      <x:c r="A15" s="136" t="str">
        <x:v>00009</x:v>
      </x:c>
      <x:c r="B15" s="188" t="str">
        <x:v>01.準備</x:v>
      </x:c>
      <x:c r="C15" s="56" t="str">
        <x:v>DPS対応の要否・対象範囲を決定</x:v>
      </x:c>
      <x:c r="D15" s="85" t="str">
        <x:v>PM（要確定）</x:v>
      </x:c>
      <x:c r="E15" s="56" t="str">
        <x:v>共通</x:v>
      </x:c>
      <x:c r="F15" s="143" t="str">
        <x:v>1.高</x:v>
      </x:c>
      <x:c r="G15" s="85" t="str">
        <x:v>00.未確認</x:v>
      </x:c>
      <x:c r="H15" s="150" t="str">
        <x:v>設計</x:v>
      </x:c>
      <x:c r="I15" s="56" t="str">
        <x:v>共通</x:v>
      </x:c>
      <x:c r="J15" s="157" t="str">
        <x:v>00003</x:v>
      </x:c>
      <x:c r="K15" s="157" t="str"/>
      <x:c r="L15" s="157" t="str"/>
      <x:c r="M15" s="143" t="n">
        <x:v>1</x:v>
      </x:c>
      <x:c r="N15" s="143" t="n">
        <x:v>2</x:v>
      </x:c>
      <x:c r="O15" s="163" t="n">
        <x:f>IF(OR('設定'!$B$4="",N15=0),"",MAX(WORKDAY.INTL('設定'!$B$4-1,M15,'設定'!$B$6,'設定'!$J$4:$J$53),IF(J15="",0,IF(COUNTIF($A$7:$A$14,J15)=1,IFERROR(IF(INDEX($P$7:$P$14,MATCH(J15,$A$7:$A$14,0),1)=0,0,WORKDAY.INTL(INDEX($P$7:$P$14,MATCH(J15,$A$7:$A$14,0),1),1,'設定'!$B$6,'設定'!$J$4:$J$53)),0),0)),IF(K15="",0,IF(COUNTIF($A$7:$A$14,K15)=1,IFERROR(IF(INDEX($P$7:$P$14,MATCH(K15,$A$7:$A$14,0),1)=0,0,WORKDAY.INTL(INDEX($P$7:$P$14,MATCH(K15,$A$7:$A$14,0),1),1,'設定'!$B$6,'設定'!$J$4:$J$53)),0),0)),IF(L15="",0,IF(COUNTIF($A$7:$A$14,L15)=1,IFERROR(IF(INDEX($P$7:$P$14,MATCH(L15,$A$7:$A$14,0),1)=0,0,WORKDAY.INTL(INDEX($P$7:$P$14,MATCH(L15,$A$7:$A$14,0),1),1,'設定'!$B$6,'設定'!$J$4:$J$53)),0),0))))</x:f>
        <x:v>46321</x:v>
      </x:c>
      <x:c r="P15" s="163" t="n">
        <x:f>IF(O15="","",WORKDAY.INTL(O15,N15-1,'設定'!$B$6,'設定'!$J$4:$J$53))</x:f>
        <x:v>46322</x:v>
      </x:c>
      <x:c r="Q15" s="169"/>
      <x:c r="R15" s="169"/>
      <x:c r="S15" s="143" t="n">
        <x:v>1</x:v>
      </x:c>
      <x:c r="T15" s="143" t="n">
        <x:v>0</x:v>
      </x:c>
      <x:c r="U15" s="175" t="n">
        <x:f>IFERROR(T15/S15,0)</x:f>
        <x:v>0</x:v>
      </x:c>
      <x:c r="V15" s="91" t="str">
        <x:f>IF(U15&gt;=1,IF(R15="","完了（実績日未確認）",IF(P15="","完了",IF(R15&gt;P15,"完了（遅延）","完了"))),IF(G15="04.保留","保留",IF(O15="","未計画",IF('設定'!$B$5&gt;P15,IF(G15="00.未確認","要確認（期限超過）","遅延"),IF('設定'!$B$5&gt;=O15,IF(G15="00.未確認","状況要確認",IF(Q15="","開始要確認","予定内")),"予定前")))))</x:f>
        <x:v>予定前</x:v>
      </x:c>
      <x:c r="W15" s="56" t="str">
        <x:v>10</x:v>
      </x:c>
      <x:c r="X15" s="56" t="str">
        <x:v>原資料展開</x:v>
      </x:c>
      <x:c r="Y15" s="56" t="str">
        <x:v>DPSの必要／不要の決定記録</x:v>
      </x:c>
      <x:c r="Z15" s="56" t="str">
        <x:v>すささんに確認。必要な場合の追加開発は別途見積り。</x:v>
      </x:c>
      <x:c r="AA15" s="181" t="str">
        <x:f>IF(AND(IF(J15="",TRUE,COUNTIF($A$7:$A$14,J15)=1),IF(K15="",TRUE,COUNTIF($A$7:$A$14,K15)=1),IF(L15="",TRUE,COUNTIF($A$7:$A$14,L15)=1),COUNTIF($A$7:$A$107,A15)=1,AND(M15&gt;=1,MOD(M15,1)=0,N15&gt;=0,MOD(N15,1)=0,S15&gt;0,T15&gt;=0,T15&lt;=S15),OR(R15="",AND(Q15&lt;&gt;"",R15&gt;=Q15)),IF(OR(G15="05.完了",G15="06.完了（資料記載）"),U15=1,TRUE),IF(N15=0,U15=1,TRUE)),"OK","要確認")</x:f>
        <x:v>OK</x:v>
      </x:c>
    </x:row>
    <x:row r="16" ht="54" customHeight="1">
      <x:c r="A16" s="135" t="str">
        <x:v>00010</x:v>
      </x:c>
      <x:c r="B16" s="188" t="str">
        <x:v>01.準備</x:v>
      </x:c>
      <x:c r="C16" s="48" t="str">
        <x:v>WBS・工程・マイルストーンの作成</x:v>
      </x:c>
      <x:c r="D16" s="85" t="str">
        <x:v>PM（要確定）</x:v>
      </x:c>
      <x:c r="E16" s="48" t="str">
        <x:v>Excel</x:v>
      </x:c>
      <x:c r="F16" s="143" t="str">
        <x:v>2.中</x:v>
      </x:c>
      <x:c r="G16" s="85" t="str">
        <x:v>00.未確認</x:v>
      </x:c>
      <x:c r="H16" s="149" t="str">
        <x:v>設計</x:v>
      </x:c>
      <x:c r="I16" s="48" t="str">
        <x:v>共通</x:v>
      </x:c>
      <x:c r="J16" s="157" t="str">
        <x:v>00006</x:v>
      </x:c>
      <x:c r="K16" s="157" t="str">
        <x:v>00007</x:v>
      </x:c>
      <x:c r="L16" s="157" t="str">
        <x:v>00009</x:v>
      </x:c>
      <x:c r="M16" s="143" t="n">
        <x:v>1</x:v>
      </x:c>
      <x:c r="N16" s="143" t="n">
        <x:v>1</x:v>
      </x:c>
      <x:c r="O16" s="163" t="n">
        <x:f>IF(OR('設定'!$B$4="",N16=0),"",MAX(WORKDAY.INTL('設定'!$B$4-1,M16,'設定'!$B$6,'設定'!$J$4:$J$53),IF(J16="",0,IF(COUNTIF($A$7:$A$15,J16)=1,IFERROR(IF(INDEX($P$7:$P$15,MATCH(J16,$A$7:$A$15,0),1)=0,0,WORKDAY.INTL(INDEX($P$7:$P$15,MATCH(J16,$A$7:$A$15,0),1),1,'設定'!$B$6,'設定'!$J$4:$J$53)),0),0)),IF(K16="",0,IF(COUNTIF($A$7:$A$15,K16)=1,IFERROR(IF(INDEX($P$7:$P$15,MATCH(K16,$A$7:$A$15,0),1)=0,0,WORKDAY.INTL(INDEX($P$7:$P$15,MATCH(K16,$A$7:$A$15,0),1),1,'設定'!$B$6,'設定'!$J$4:$J$53)),0),0)),IF(L16="",0,IF(COUNTIF($A$7:$A$15,L16)=1,IFERROR(IF(INDEX($P$7:$P$15,MATCH(L16,$A$7:$A$15,0),1)=0,0,WORKDAY.INTL(INDEX($P$7:$P$15,MATCH(L16,$A$7:$A$15,0),1),1,'設定'!$B$6,'設定'!$J$4:$J$53)),0),0))))</x:f>
        <x:v>46323</x:v>
      </x:c>
      <x:c r="P16" s="163" t="n">
        <x:f>IF(O16="","",WORKDAY.INTL(O16,N16-1,'設定'!$B$6,'設定'!$J$4:$J$53))</x:f>
        <x:v>46323</x:v>
      </x:c>
      <x:c r="Q16" s="169"/>
      <x:c r="R16" s="169"/>
      <x:c r="S16" s="143" t="n">
        <x:v>1</x:v>
      </x:c>
      <x:c r="T16" s="143" t="n">
        <x:v>0</x:v>
      </x:c>
      <x:c r="U16" s="175" t="n">
        <x:f>IFERROR(T16/S16,0)</x:f>
        <x:v>0</x:v>
      </x:c>
      <x:c r="V16" s="91" t="str">
        <x:f>IF(U16&gt;=1,IF(R16="","完了（実績日未確認）",IF(P16="","完了",IF(R16&gt;P16,"完了（遅延）","完了"))),IF(G16="04.保留","保留",IF(O16="","未計画",IF('設定'!$B$5&gt;P16,IF(G16="00.未確認","要確認（期限超過）","遅延"),IF('設定'!$B$5&gt;=O16,IF(G16="00.未確認","状況要確認",IF(Q16="","開始要確認","予定内")),"予定前")))))</x:f>
        <x:v>予定前</x:v>
      </x:c>
      <x:c r="W16" s="48" t="str">
        <x:v>4</x:v>
      </x:c>
      <x:c r="X16" s="48" t="str">
        <x:v>原資料展開</x:v>
      </x:c>
      <x:c r="Y16" s="48" t="str">
        <x:v>承認対象のスケジュール案</x:v>
      </x:c>
      <x:c r="Z16" s="48" t="str">
        <x:v>本ファイルの計画日・担当・日数をレビューし確定する。</x:v>
      </x:c>
      <x:c r="AA16" s="181" t="str">
        <x:f>IF(AND(IF(J16="",TRUE,COUNTIF($A$7:$A$15,J16)=1),IF(K16="",TRUE,COUNTIF($A$7:$A$15,K16)=1),IF(L16="",TRUE,COUNTIF($A$7:$A$15,L16)=1),COUNTIF($A$7:$A$107,A16)=1,AND(M16&gt;=1,MOD(M16,1)=0,N16&gt;=0,MOD(N16,1)=0,S16&gt;0,T16&gt;=0,T16&lt;=S16),OR(R16="",AND(Q16&lt;&gt;"",R16&gt;=Q16)),IF(OR(G16="05.完了",G16="06.完了（資料記載）"),U16=1,TRUE),IF(N16=0,U16=1,TRUE)),"OK","要確認")</x:f>
        <x:v>OK</x:v>
      </x:c>
    </x:row>
    <x:row r="17" ht="54" customHeight="1">
      <x:c r="A17" s="136" t="str">
        <x:v>00011</x:v>
      </x:c>
      <x:c r="B17" s="188" t="str">
        <x:v>01.準備</x:v>
      </x:c>
      <x:c r="C17" s="56" t="str">
        <x:v>プロジェクト計画書・体制・リスクの作成</x:v>
      </x:c>
      <x:c r="D17" s="85" t="str">
        <x:v>PM（要確定）</x:v>
      </x:c>
      <x:c r="E17" s="56" t="str">
        <x:v>共通</x:v>
      </x:c>
      <x:c r="F17" s="143" t="str">
        <x:v>1.高</x:v>
      </x:c>
      <x:c r="G17" s="85" t="str">
        <x:v>00.未確認</x:v>
      </x:c>
      <x:c r="H17" s="150" t="str">
        <x:v>設計</x:v>
      </x:c>
      <x:c r="I17" s="56" t="str">
        <x:v>共通</x:v>
      </x:c>
      <x:c r="J17" s="157" t="str">
        <x:v>00010</x:v>
      </x:c>
      <x:c r="K17" s="157" t="str">
        <x:v>00008</x:v>
      </x:c>
      <x:c r="L17" s="157" t="str"/>
      <x:c r="M17" s="143" t="n">
        <x:v>1</x:v>
      </x:c>
      <x:c r="N17" s="143" t="n">
        <x:v>2</x:v>
      </x:c>
      <x:c r="O17" s="163" t="n">
        <x:f>IF(OR('設定'!$B$4="",N17=0),"",MAX(WORKDAY.INTL('設定'!$B$4-1,M17,'設定'!$B$6,'設定'!$J$4:$J$53),IF(J17="",0,IF(COUNTIF($A$7:$A$16,J17)=1,IFERROR(IF(INDEX($P$7:$P$16,MATCH(J17,$A$7:$A$16,0),1)=0,0,WORKDAY.INTL(INDEX($P$7:$P$16,MATCH(J17,$A$7:$A$16,0),1),1,'設定'!$B$6,'設定'!$J$4:$J$53)),0),0)),IF(K17="",0,IF(COUNTIF($A$7:$A$16,K17)=1,IFERROR(IF(INDEX($P$7:$P$16,MATCH(K17,$A$7:$A$16,0),1)=0,0,WORKDAY.INTL(INDEX($P$7:$P$16,MATCH(K17,$A$7:$A$16,0),1),1,'設定'!$B$6,'設定'!$J$4:$J$53)),0),0)),IF(L17="",0,IF(COUNTIF($A$7:$A$16,L17)=1,IFERROR(IF(INDEX($P$7:$P$16,MATCH(L17,$A$7:$A$16,0),1)=0,0,WORKDAY.INTL(INDEX($P$7:$P$16,MATCH(L17,$A$7:$A$16,0),1),1,'設定'!$B$6,'設定'!$J$4:$J$53)),0),0))))</x:f>
        <x:v>46324</x:v>
      </x:c>
      <x:c r="P17" s="163" t="n">
        <x:f>IF(O17="","",WORKDAY.INTL(O17,N17-1,'設定'!$B$6,'設定'!$J$4:$J$53))</x:f>
        <x:v>46325</x:v>
      </x:c>
      <x:c r="Q17" s="169"/>
      <x:c r="R17" s="169"/>
      <x:c r="S17" s="143" t="n">
        <x:v>1</x:v>
      </x:c>
      <x:c r="T17" s="143" t="n">
        <x:v>0</x:v>
      </x:c>
      <x:c r="U17" s="175" t="n">
        <x:f>IFERROR(T17/S17,0)</x:f>
        <x:v>0</x:v>
      </x:c>
      <x:c r="V17" s="91" t="str">
        <x:f>IF(U17&gt;=1,IF(R17="","完了（実績日未確認）",IF(P17="","完了",IF(R17&gt;P17,"完了（遅延）","完了"))),IF(G17="04.保留","保留",IF(O17="","未計画",IF('設定'!$B$5&gt;P17,IF(G17="00.未確認","要確認（期限超過）","遅延"),IF('設定'!$B$5&gt;=O17,IF(G17="00.未確認","状況要確認",IF(Q17="","開始要確認","予定内")),"予定前")))))</x:f>
        <x:v>予定前</x:v>
      </x:c>
      <x:c r="W17" s="56" t="str">
        <x:v>13</x:v>
      </x:c>
      <x:c r="X17" s="56" t="str">
        <x:v>原資料展開</x:v>
      </x:c>
      <x:c r="Y17" s="56" t="str">
        <x:v>目的・スコープ・体制・暫定構成・リスクを記載した計画書</x:v>
      </x:c>
      <x:c r="Z17" s="56" t="str">
        <x:v>楊さん参加予定。クレアさんは申請中（元資料記載、要再確認）。</x:v>
      </x:c>
      <x:c r="AA17" s="181" t="str">
        <x:f>IF(AND(IF(J17="",TRUE,COUNTIF($A$7:$A$16,J17)=1),IF(K17="",TRUE,COUNTIF($A$7:$A$16,K17)=1),IF(L17="",TRUE,COUNTIF($A$7:$A$16,L17)=1),COUNTIF($A$7:$A$107,A17)=1,AND(M17&gt;=1,MOD(M17,1)=0,N17&gt;=0,MOD(N17,1)=0,S17&gt;0,T17&gt;=0,T17&lt;=S17),OR(R17="",AND(Q17&lt;&gt;"",R17&gt;=Q17)),IF(OR(G17="05.完了",G17="06.完了（資料記載）"),U17=1,TRUE),IF(N17=0,U17=1,TRUE)),"OK","要確認")</x:f>
        <x:v>OK</x:v>
      </x:c>
    </x:row>
    <x:row r="18" ht="54" customHeight="1">
      <x:c r="A18" s="135" t="str">
        <x:v>00012</x:v>
      </x:c>
      <x:c r="B18" s="188" t="str">
        <x:v>01.準備</x:v>
      </x:c>
      <x:c r="C18" s="48" t="str">
        <x:v>キックオフ・進め方の合意</x:v>
      </x:c>
      <x:c r="D18" s="85" t="str">
        <x:v>PM／関係者（要確定）</x:v>
      </x:c>
      <x:c r="E18" s="48" t="str">
        <x:v>共通</x:v>
      </x:c>
      <x:c r="F18" s="143" t="str">
        <x:v>2.中</x:v>
      </x:c>
      <x:c r="G18" s="85" t="str">
        <x:v>00.未確認</x:v>
      </x:c>
      <x:c r="H18" s="149" t="str">
        <x:v>設計</x:v>
      </x:c>
      <x:c r="I18" s="48" t="str">
        <x:v>共通</x:v>
      </x:c>
      <x:c r="J18" s="157" t="str">
        <x:v>00011</x:v>
      </x:c>
      <x:c r="K18" s="157" t="str"/>
      <x:c r="L18" s="157" t="str"/>
      <x:c r="M18" s="143" t="n">
        <x:v>1</x:v>
      </x:c>
      <x:c r="N18" s="143" t="n">
        <x:v>1</x:v>
      </x:c>
      <x:c r="O18" s="163" t="n">
        <x:f>IF(OR('設定'!$B$4="",N18=0),"",MAX(WORKDAY.INTL('設定'!$B$4-1,M18,'設定'!$B$6,'設定'!$J$4:$J$53),IF(J18="",0,IF(COUNTIF($A$7:$A$17,J18)=1,IFERROR(IF(INDEX($P$7:$P$17,MATCH(J18,$A$7:$A$17,0),1)=0,0,WORKDAY.INTL(INDEX($P$7:$P$17,MATCH(J18,$A$7:$A$17,0),1),1,'設定'!$B$6,'設定'!$J$4:$J$53)),0),0)),IF(K18="",0,IF(COUNTIF($A$7:$A$17,K18)=1,IFERROR(IF(INDEX($P$7:$P$17,MATCH(K18,$A$7:$A$17,0),1)=0,0,WORKDAY.INTL(INDEX($P$7:$P$17,MATCH(K18,$A$7:$A$17,0),1),1,'設定'!$B$6,'設定'!$J$4:$J$53)),0),0)),IF(L18="",0,IF(COUNTIF($A$7:$A$17,L18)=1,IFERROR(IF(INDEX($P$7:$P$17,MATCH(L18,$A$7:$A$17,0),1)=0,0,WORKDAY.INTL(INDEX($P$7:$P$17,MATCH(L18,$A$7:$A$17,0),1),1,'設定'!$B$6,'設定'!$J$4:$J$53)),0),0))))</x:f>
        <x:v>46328</x:v>
      </x:c>
      <x:c r="P18" s="163" t="n">
        <x:f>IF(O18="","",WORKDAY.INTL(O18,N18-1,'設定'!$B$6,'設定'!$J$4:$J$53))</x:f>
        <x:v>46328</x:v>
      </x:c>
      <x:c r="Q18" s="169"/>
      <x:c r="R18" s="169"/>
      <x:c r="S18" s="143" t="n">
        <x:v>1</x:v>
      </x:c>
      <x:c r="T18" s="143" t="n">
        <x:v>0</x:v>
      </x:c>
      <x:c r="U18" s="175" t="n">
        <x:f>IFERROR(T18/S18,0)</x:f>
        <x:v>0</x:v>
      </x:c>
      <x:c r="V18" s="91" t="str">
        <x:f>IF(U18&gt;=1,IF(R18="","完了（実績日未確認）",IF(P18="","完了",IF(R18&gt;P18,"完了（遅延）","完了"))),IF(G18="04.保留","保留",IF(O18="","未計画",IF('設定'!$B$5&gt;P18,IF(G18="00.未確認","要確認（期限超過）","遅延"),IF('設定'!$B$5&gt;=O18,IF(G18="00.未確認","状況要確認",IF(Q18="","開始要確認","予定内")),"予定前")))))</x:f>
        <x:v>予定前</x:v>
      </x:c>
      <x:c r="W18" s="48" t="str">
        <x:v>14</x:v>
      </x:c>
      <x:c r="X18" s="48" t="str">
        <x:v>原資料展開</x:v>
      </x:c>
      <x:c r="Y18" s="48" t="str">
        <x:v>キックオフ議事録・合意事項</x:v>
      </x:c>
      <x:c r="Z18" s="48" t="str"/>
      <x:c r="AA18" s="181" t="str">
        <x:f>IF(AND(IF(J18="",TRUE,COUNTIF($A$7:$A$17,J18)=1),IF(K18="",TRUE,COUNTIF($A$7:$A$17,K18)=1),IF(L18="",TRUE,COUNTIF($A$7:$A$17,L18)=1),COUNTIF($A$7:$A$107,A18)=1,AND(M18&gt;=1,MOD(M18,1)=0,N18&gt;=0,MOD(N18,1)=0,S18&gt;0,T18&gt;=0,T18&lt;=S18),OR(R18="",AND(Q18&lt;&gt;"",R18&gt;=Q18)),IF(OR(G18="05.完了",G18="06.完了（資料記載）"),U18=1,TRUE),IF(N18=0,U18=1,TRUE)),"OK","要確認")</x:f>
        <x:v>OK</x:v>
      </x:c>
    </x:row>
    <x:row r="19" ht="54" customHeight="1">
      <x:c r="A19" s="136" t="str">
        <x:v>00013</x:v>
      </x:c>
      <x:c r="B19" s="192" t="str">
        <x:v>02.要件・設計</x:v>
      </x:c>
      <x:c r="C19" s="56" t="str">
        <x:v>To-Be全体構成・今回の開発範囲を設計</x:v>
      </x:c>
      <x:c r="D19" s="85" t="str">
        <x:v>アーキテクト（要確定）</x:v>
      </x:c>
      <x:c r="E19" s="56" t="str">
        <x:v>Fabric</x:v>
      </x:c>
      <x:c r="F19" s="143" t="str">
        <x:v>1.高</x:v>
      </x:c>
      <x:c r="G19" s="85" t="str">
        <x:v>00.未確認</x:v>
      </x:c>
      <x:c r="H19" s="150" t="str">
        <x:v>設計</x:v>
      </x:c>
      <x:c r="I19" s="56" t="str">
        <x:v>共通</x:v>
      </x:c>
      <x:c r="J19" s="157" t="str">
        <x:v>00012</x:v>
      </x:c>
      <x:c r="K19" s="157" t="str">
        <x:v>00004</x:v>
      </x:c>
      <x:c r="L19" s="157" t="str"/>
      <x:c r="M19" s="143" t="n">
        <x:v>1</x:v>
      </x:c>
      <x:c r="N19" s="143" t="n">
        <x:v>3</x:v>
      </x:c>
      <x:c r="O19" s="163" t="n">
        <x:f>IF(OR('設定'!$B$4="",N19=0),"",MAX(WORKDAY.INTL('設定'!$B$4-1,M19,'設定'!$B$6,'設定'!$J$4:$J$53),IF(J19="",0,IF(COUNTIF($A$7:$A$18,J19)=1,IFERROR(IF(INDEX($P$7:$P$18,MATCH(J19,$A$7:$A$18,0),1)=0,0,WORKDAY.INTL(INDEX($P$7:$P$18,MATCH(J19,$A$7:$A$18,0),1),1,'設定'!$B$6,'設定'!$J$4:$J$53)),0),0)),IF(K19="",0,IF(COUNTIF($A$7:$A$18,K19)=1,IFERROR(IF(INDEX($P$7:$P$18,MATCH(K19,$A$7:$A$18,0),1)=0,0,WORKDAY.INTL(INDEX($P$7:$P$18,MATCH(K19,$A$7:$A$18,0),1),1,'設定'!$B$6,'設定'!$J$4:$J$53)),0),0)),IF(L19="",0,IF(COUNTIF($A$7:$A$18,L19)=1,IFERROR(IF(INDEX($P$7:$P$18,MATCH(L19,$A$7:$A$18,0),1)=0,0,WORKDAY.INTL(INDEX($P$7:$P$18,MATCH(L19,$A$7:$A$18,0),1),1,'設定'!$B$6,'設定'!$J$4:$J$53)),0),0))))</x:f>
        <x:v>46329</x:v>
      </x:c>
      <x:c r="P19" s="163" t="n">
        <x:f>IF(O19="","",WORKDAY.INTL(O19,N19-1,'設定'!$B$6,'設定'!$J$4:$J$53))</x:f>
        <x:v>46331</x:v>
      </x:c>
      <x:c r="Q19" s="169"/>
      <x:c r="R19" s="169"/>
      <x:c r="S19" s="143" t="n">
        <x:v>1</x:v>
      </x:c>
      <x:c r="T19" s="143" t="n">
        <x:v>0</x:v>
      </x:c>
      <x:c r="U19" s="175" t="n">
        <x:f>IFERROR(T19/S19,0)</x:f>
        <x:v>0</x:v>
      </x:c>
      <x:c r="V19" s="91" t="str">
        <x:f>IF(U19&gt;=1,IF(R19="","完了（実績日未確認）",IF(P19="","完了",IF(R19&gt;P19,"完了（遅延）","完了"))),IF(G19="04.保留","保留",IF(O19="","未計画",IF('設定'!$B$5&gt;P19,IF(G19="00.未確認","要確認（期限超過）","遅延"),IF('設定'!$B$5&gt;=O19,IF(G19="00.未確認","状況要確認",IF(Q19="","開始要確認","予定内")),"予定前")))))</x:f>
        <x:v>予定前</x:v>
      </x:c>
      <x:c r="W19" s="56" t="str">
        <x:v>11</x:v>
      </x:c>
      <x:c r="X19" s="56" t="str">
        <x:v>原資料展開</x:v>
      </x:c>
      <x:c r="Y19" s="56" t="str">
        <x:v>全体構成図・処理フロー・開発範囲</x:v>
      </x:c>
      <x:c r="Z19" s="56" t="str"/>
      <x:c r="AA19" s="181" t="str">
        <x:f>IF(AND(IF(J19="",TRUE,COUNTIF($A$7:$A$18,J19)=1),IF(K19="",TRUE,COUNTIF($A$7:$A$18,K19)=1),IF(L19="",TRUE,COUNTIF($A$7:$A$18,L19)=1),COUNTIF($A$7:$A$107,A19)=1,AND(M19&gt;=1,MOD(M19,1)=0,N19&gt;=0,MOD(N19,1)=0,S19&gt;0,T19&gt;=0,T19&lt;=S19),OR(R19="",AND(Q19&lt;&gt;"",R19&gt;=Q19)),IF(OR(G19="05.完了",G19="06.完了（資料記載）"),U19=1,TRUE),IF(N19=0,U19=1,TRUE)),"OK","要確認")</x:f>
        <x:v>OK</x:v>
      </x:c>
    </x:row>
    <x:row r="20" ht="54" customHeight="1">
      <x:c r="A20" s="135" t="str">
        <x:v>00014</x:v>
      </x:c>
      <x:c r="B20" s="192" t="str">
        <x:v>02.要件・設計</x:v>
      </x:c>
      <x:c r="C20" s="48" t="str">
        <x:v>NextForce開発環境への接続・コピー可否確認</x:v>
      </x:c>
      <x:c r="D20" s="85" t="str">
        <x:v>PM／接続先管理者（要確定）</x:v>
      </x:c>
      <x:c r="E20" s="48" t="str">
        <x:v>Fabric／NextForce</x:v>
      </x:c>
      <x:c r="F20" s="143" t="str">
        <x:v>1.高</x:v>
      </x:c>
      <x:c r="G20" s="85" t="str">
        <x:v>00.未確認</x:v>
      </x:c>
      <x:c r="H20" s="149" t="str">
        <x:v>設計</x:v>
      </x:c>
      <x:c r="I20" s="48" t="str">
        <x:v>共通</x:v>
      </x:c>
      <x:c r="J20" s="157" t="str">
        <x:v>00013</x:v>
      </x:c>
      <x:c r="K20" s="157" t="str"/>
      <x:c r="L20" s="157" t="str"/>
      <x:c r="M20" s="143" t="n">
        <x:v>1</x:v>
      </x:c>
      <x:c r="N20" s="143" t="n">
        <x:v>2</x:v>
      </x:c>
      <x:c r="O20" s="163" t="n">
        <x:f>IF(OR('設定'!$B$4="",N20=0),"",MAX(WORKDAY.INTL('設定'!$B$4-1,M20,'設定'!$B$6,'設定'!$J$4:$J$53),IF(J20="",0,IF(COUNTIF($A$7:$A$19,J20)=1,IFERROR(IF(INDEX($P$7:$P$19,MATCH(J20,$A$7:$A$19,0),1)=0,0,WORKDAY.INTL(INDEX($P$7:$P$19,MATCH(J20,$A$7:$A$19,0),1),1,'設定'!$B$6,'設定'!$J$4:$J$53)),0),0)),IF(K20="",0,IF(COUNTIF($A$7:$A$19,K20)=1,IFERROR(IF(INDEX($P$7:$P$19,MATCH(K20,$A$7:$A$19,0),1)=0,0,WORKDAY.INTL(INDEX($P$7:$P$19,MATCH(K20,$A$7:$A$19,0),1),1,'設定'!$B$6,'設定'!$J$4:$J$53)),0),0)),IF(L20="",0,IF(COUNTIF($A$7:$A$19,L20)=1,IFERROR(IF(INDEX($P$7:$P$19,MATCH(L20,$A$7:$A$19,0),1)=0,0,WORKDAY.INTL(INDEX($P$7:$P$19,MATCH(L20,$A$7:$A$19,0),1),1,'設定'!$B$6,'設定'!$J$4:$J$53)),0),0))))</x:f>
        <x:v>46332</x:v>
      </x:c>
      <x:c r="P20" s="163" t="n">
        <x:f>IF(O20="","",WORKDAY.INTL(O20,N20-1,'設定'!$B$6,'設定'!$J$4:$J$53))</x:f>
        <x:v>46335</x:v>
      </x:c>
      <x:c r="Q20" s="169"/>
      <x:c r="R20" s="169"/>
      <x:c r="S20" s="143" t="n">
        <x:v>1</x:v>
      </x:c>
      <x:c r="T20" s="143" t="n">
        <x:v>0</x:v>
      </x:c>
      <x:c r="U20" s="175" t="n">
        <x:f>IFERROR(T20/S20,0)</x:f>
        <x:v>0</x:v>
      </x:c>
      <x:c r="V20" s="91" t="str">
        <x:f>IF(U20&gt;=1,IF(R20="","完了（実績日未確認）",IF(P20="","完了",IF(R20&gt;P20,"完了（遅延）","完了"))),IF(G20="04.保留","保留",IF(O20="","未計画",IF('設定'!$B$5&gt;P20,IF(G20="00.未確認","要確認（期限超過）","遅延"),IF('設定'!$B$5&gt;=O20,IF(G20="00.未確認","状況要確認",IF(Q20="","開始要確認","予定内")),"予定前")))))</x:f>
        <x:v>予定前</x:v>
      </x:c>
      <x:c r="W20" s="48" t="str">
        <x:v>12</x:v>
      </x:c>
      <x:c r="X20" s="48" t="str">
        <x:v>原資料展開</x:v>
      </x:c>
      <x:c r="Y20" s="48" t="str">
        <x:v>テスト接続・データコピーの許可</x:v>
      </x:c>
      <x:c r="Z20" s="48" t="str">
        <x:v>しまださんに確認。許可前にデータコピーしない。</x:v>
      </x:c>
      <x:c r="AA20" s="181" t="str">
        <x:f>IF(AND(IF(J20="",TRUE,COUNTIF($A$7:$A$19,J20)=1),IF(K20="",TRUE,COUNTIF($A$7:$A$19,K20)=1),IF(L20="",TRUE,COUNTIF($A$7:$A$19,L20)=1),COUNTIF($A$7:$A$107,A20)=1,AND(M20&gt;=1,MOD(M20,1)=0,N20&gt;=0,MOD(N20,1)=0,S20&gt;0,T20&gt;=0,T20&lt;=S20),OR(R20="",AND(Q20&lt;&gt;"",R20&gt;=Q20)),IF(OR(G20="05.完了",G20="06.完了（資料記載）"),U20=1,TRUE),IF(N20=0,U20=1,TRUE)),"OK","要確認")</x:f>
        <x:v>OK</x:v>
      </x:c>
    </x:row>
    <x:row r="21" ht="54" customHeight="1">
      <x:c r="A21" s="136" t="str">
        <x:v>00015</x:v>
      </x:c>
      <x:c r="B21" s="192" t="str">
        <x:v>02.要件・設計</x:v>
      </x:c>
      <x:c r="C21" s="56" t="str">
        <x:v>ワークスペース・Lakehouse権限設計</x:v>
      </x:c>
      <x:c r="D21" s="85" t="str">
        <x:v>基盤担当（要確定）</x:v>
      </x:c>
      <x:c r="E21" s="56" t="str">
        <x:v>Fabric</x:v>
      </x:c>
      <x:c r="F21" s="143" t="str">
        <x:v>2.中</x:v>
      </x:c>
      <x:c r="G21" s="85" t="str">
        <x:v>00.未確認</x:v>
      </x:c>
      <x:c r="H21" s="150" t="str">
        <x:v>設計</x:v>
      </x:c>
      <x:c r="I21" s="56" t="str">
        <x:v>共通</x:v>
      </x:c>
      <x:c r="J21" s="157" t="str">
        <x:v>00013</x:v>
      </x:c>
      <x:c r="K21" s="157" t="str"/>
      <x:c r="L21" s="157" t="str"/>
      <x:c r="M21" s="143" t="n">
        <x:v>1</x:v>
      </x:c>
      <x:c r="N21" s="143" t="n">
        <x:v>2</x:v>
      </x:c>
      <x:c r="O21" s="163" t="n">
        <x:f>IF(OR('設定'!$B$4="",N21=0),"",MAX(WORKDAY.INTL('設定'!$B$4-1,M21,'設定'!$B$6,'設定'!$J$4:$J$53),IF(J21="",0,IF(COUNTIF($A$7:$A$20,J21)=1,IFERROR(IF(INDEX($P$7:$P$20,MATCH(J21,$A$7:$A$20,0),1)=0,0,WORKDAY.INTL(INDEX($P$7:$P$20,MATCH(J21,$A$7:$A$20,0),1),1,'設定'!$B$6,'設定'!$J$4:$J$53)),0),0)),IF(K21="",0,IF(COUNTIF($A$7:$A$20,K21)=1,IFERROR(IF(INDEX($P$7:$P$20,MATCH(K21,$A$7:$A$20,0),1)=0,0,WORKDAY.INTL(INDEX($P$7:$P$20,MATCH(K21,$A$7:$A$20,0),1),1,'設定'!$B$6,'設定'!$J$4:$J$53)),0),0)),IF(L21="",0,IF(COUNTIF($A$7:$A$20,L21)=1,IFERROR(IF(INDEX($P$7:$P$20,MATCH(L21,$A$7:$A$20,0),1)=0,0,WORKDAY.INTL(INDEX($P$7:$P$20,MATCH(L21,$A$7:$A$20,0),1),1,'設定'!$B$6,'設定'!$J$4:$J$53)),0),0))))</x:f>
        <x:v>46332</x:v>
      </x:c>
      <x:c r="P21" s="163" t="n">
        <x:f>IF(O21="","",WORKDAY.INTL(O21,N21-1,'設定'!$B$6,'設定'!$J$4:$J$53))</x:f>
        <x:v>46335</x:v>
      </x:c>
      <x:c r="Q21" s="169"/>
      <x:c r="R21" s="169"/>
      <x:c r="S21" s="143" t="n">
        <x:v>1</x:v>
      </x:c>
      <x:c r="T21" s="143" t="n">
        <x:v>0</x:v>
      </x:c>
      <x:c r="U21" s="175" t="n">
        <x:f>IFERROR(T21/S21,0)</x:f>
        <x:v>0</x:v>
      </x:c>
      <x:c r="V21" s="91" t="str">
        <x:f>IF(U21&gt;=1,IF(R21="","完了（実績日未確認）",IF(P21="","完了",IF(R21&gt;P21,"完了（遅延）","完了"))),IF(G21="04.保留","保留",IF(O21="","未計画",IF('設定'!$B$5&gt;P21,IF(G21="00.未確認","要確認（期限超過）","遅延"),IF('設定'!$B$5&gt;=O21,IF(G21="00.未確認","状況要確認",IF(Q21="","開始要確認","予定内")),"予定前")))))</x:f>
        <x:v>予定前</x:v>
      </x:c>
      <x:c r="W21" s="56" t="str">
        <x:v>15</x:v>
      </x:c>
      <x:c r="X21" s="56" t="str">
        <x:v>原資料展開</x:v>
      </x:c>
      <x:c r="Y21" s="56" t="str">
        <x:v>DEV／QA／PRODの権限一覧・既存資材への変更要否</x:v>
      </x:c>
      <x:c r="Z21" s="56" t="str"/>
      <x:c r="AA21" s="181" t="str">
        <x:f>IF(AND(IF(J21="",TRUE,COUNTIF($A$7:$A$20,J21)=1),IF(K21="",TRUE,COUNTIF($A$7:$A$20,K21)=1),IF(L21="",TRUE,COUNTIF($A$7:$A$20,L21)=1),COUNTIF($A$7:$A$107,A21)=1,AND(M21&gt;=1,MOD(M21,1)=0,N21&gt;=0,MOD(N21,1)=0,S21&gt;0,T21&gt;=0,T21&lt;=S21),OR(R21="",AND(Q21&lt;&gt;"",R21&gt;=Q21)),IF(OR(G21="05.完了",G21="06.完了（資料記載）"),U21=1,TRUE),IF(N21=0,U21=1,TRUE)),"OK","要確認")</x:f>
        <x:v>OK</x:v>
      </x:c>
    </x:row>
    <x:row r="22" ht="54" customHeight="1">
      <x:c r="A22" s="135" t="str">
        <x:v>00016</x:v>
      </x:c>
      <x:c r="B22" s="192" t="str">
        <x:v>02.要件・設計</x:v>
      </x:c>
      <x:c r="C22" s="48" t="str">
        <x:v>データ管理者・SharePoint管理・保存期間の整理</x:v>
      </x:c>
      <x:c r="D22" s="85" t="str">
        <x:v>データ管理／運用担当（要確定）</x:v>
      </x:c>
      <x:c r="E22" s="48" t="str">
        <x:v>Fabric／SharePoint</x:v>
      </x:c>
      <x:c r="F22" s="143" t="str">
        <x:v>2.中</x:v>
      </x:c>
      <x:c r="G22" s="85" t="str">
        <x:v>00.未確認</x:v>
      </x:c>
      <x:c r="H22" s="149" t="str">
        <x:v>設計</x:v>
      </x:c>
      <x:c r="I22" s="48" t="str">
        <x:v>共通</x:v>
      </x:c>
      <x:c r="J22" s="157" t="str">
        <x:v>00013</x:v>
      </x:c>
      <x:c r="K22" s="157" t="str"/>
      <x:c r="L22" s="157" t="str"/>
      <x:c r="M22" s="143" t="n">
        <x:v>1</x:v>
      </x:c>
      <x:c r="N22" s="143" t="n">
        <x:v>2</x:v>
      </x:c>
      <x:c r="O22" s="163" t="n">
        <x:f>IF(OR('設定'!$B$4="",N22=0),"",MAX(WORKDAY.INTL('設定'!$B$4-1,M22,'設定'!$B$6,'設定'!$J$4:$J$53),IF(J22="",0,IF(COUNTIF($A$7:$A$21,J22)=1,IFERROR(IF(INDEX($P$7:$P$21,MATCH(J22,$A$7:$A$21,0),1)=0,0,WORKDAY.INTL(INDEX($P$7:$P$21,MATCH(J22,$A$7:$A$21,0),1),1,'設定'!$B$6,'設定'!$J$4:$J$53)),0),0)),IF(K22="",0,IF(COUNTIF($A$7:$A$21,K22)=1,IFERROR(IF(INDEX($P$7:$P$21,MATCH(K22,$A$7:$A$21,0),1)=0,0,WORKDAY.INTL(INDEX($P$7:$P$21,MATCH(K22,$A$7:$A$21,0),1),1,'設定'!$B$6,'設定'!$J$4:$J$53)),0),0)),IF(L22="",0,IF(COUNTIF($A$7:$A$21,L22)=1,IFERROR(IF(INDEX($P$7:$P$21,MATCH(L22,$A$7:$A$21,0),1)=0,0,WORKDAY.INTL(INDEX($P$7:$P$21,MATCH(L22,$A$7:$A$21,0),1),1,'設定'!$B$6,'設定'!$J$4:$J$53)),0),0))))</x:f>
        <x:v>46332</x:v>
      </x:c>
      <x:c r="P22" s="163" t="n">
        <x:f>IF(O22="","",WORKDAY.INTL(O22,N22-1,'設定'!$B$6,'設定'!$J$4:$J$53))</x:f>
        <x:v>46335</x:v>
      </x:c>
      <x:c r="Q22" s="169"/>
      <x:c r="R22" s="169"/>
      <x:c r="S22" s="143" t="n">
        <x:v>1</x:v>
      </x:c>
      <x:c r="T22" s="143" t="n">
        <x:v>0</x:v>
      </x:c>
      <x:c r="U22" s="175" t="n">
        <x:f>IFERROR(T22/S22,0)</x:f>
        <x:v>0</x:v>
      </x:c>
      <x:c r="V22" s="91" t="str">
        <x:f>IF(U22&gt;=1,IF(R22="","完了（実績日未確認）",IF(P22="","完了",IF(R22&gt;P22,"完了（遅延）","完了"))),IF(G22="04.保留","保留",IF(O22="","未計画",IF('設定'!$B$5&gt;P22,IF(G22="00.未確認","要確認（期限超過）","遅延"),IF('設定'!$B$5&gt;=O22,IF(G22="00.未確認","状況要確認",IF(Q22="","開始要確認","予定内")),"予定前")))))</x:f>
        <x:v>予定前</x:v>
      </x:c>
      <x:c r="W22" s="48" t="str">
        <x:v>16</x:v>
      </x:c>
      <x:c r="X22" s="48" t="str">
        <x:v>原資料展開</x:v>
      </x:c>
      <x:c r="Y22" s="48" t="str">
        <x:v>管理責任者・保管先・保存ルールの合意</x:v>
      </x:c>
      <x:c r="Z22" s="48" t="str"/>
      <x:c r="AA22" s="181" t="str">
        <x:f>IF(AND(IF(J22="",TRUE,COUNTIF($A$7:$A$21,J22)=1),IF(K22="",TRUE,COUNTIF($A$7:$A$21,K22)=1),IF(L22="",TRUE,COUNTIF($A$7:$A$21,L22)=1),COUNTIF($A$7:$A$107,A22)=1,AND(M22&gt;=1,MOD(M22,1)=0,N22&gt;=0,MOD(N22,1)=0,S22&gt;0,T22&gt;=0,T22&lt;=S22),OR(R22="",AND(Q22&lt;&gt;"",R22&gt;=Q22)),IF(OR(G22="05.完了",G22="06.完了（資料記載）"),U22=1,TRUE),IF(N22=0,U22=1,TRUE)),"OK","要確認")</x:f>
        <x:v>OK</x:v>
      </x:c>
    </x:row>
    <x:row r="23" ht="54" customHeight="1">
      <x:c r="A23" s="136" t="str">
        <x:v>00017</x:v>
      </x:c>
      <x:c r="B23" s="192" t="str">
        <x:v>02.要件・設計</x:v>
      </x:c>
      <x:c r="C23" s="56" t="str">
        <x:v>品質基準・データオーナーの確定</x:v>
      </x:c>
      <x:c r="D23" s="85" t="str">
        <x:v>品質／業務担当（要確定）</x:v>
      </x:c>
      <x:c r="E23" s="56" t="str">
        <x:v>Fabric</x:v>
      </x:c>
      <x:c r="F23" s="143" t="str">
        <x:v>2.中</x:v>
      </x:c>
      <x:c r="G23" s="85" t="str">
        <x:v>00.未確認</x:v>
      </x:c>
      <x:c r="H23" s="150" t="str">
        <x:v>設計</x:v>
      </x:c>
      <x:c r="I23" s="56" t="str">
        <x:v>共通</x:v>
      </x:c>
      <x:c r="J23" s="157" t="str">
        <x:v>00016</x:v>
      </x:c>
      <x:c r="K23" s="157" t="str"/>
      <x:c r="L23" s="157" t="str"/>
      <x:c r="M23" s="143" t="n">
        <x:v>1</x:v>
      </x:c>
      <x:c r="N23" s="143" t="n">
        <x:v>2</x:v>
      </x:c>
      <x:c r="O23" s="163" t="n">
        <x:f>IF(OR('設定'!$B$4="",N23=0),"",MAX(WORKDAY.INTL('設定'!$B$4-1,M23,'設定'!$B$6,'設定'!$J$4:$J$53),IF(J23="",0,IF(COUNTIF($A$7:$A$22,J23)=1,IFERROR(IF(INDEX($P$7:$P$22,MATCH(J23,$A$7:$A$22,0),1)=0,0,WORKDAY.INTL(INDEX($P$7:$P$22,MATCH(J23,$A$7:$A$22,0),1),1,'設定'!$B$6,'設定'!$J$4:$J$53)),0),0)),IF(K23="",0,IF(COUNTIF($A$7:$A$22,K23)=1,IFERROR(IF(INDEX($P$7:$P$22,MATCH(K23,$A$7:$A$22,0),1)=0,0,WORKDAY.INTL(INDEX($P$7:$P$22,MATCH(K23,$A$7:$A$22,0),1),1,'設定'!$B$6,'設定'!$J$4:$J$53)),0),0)),IF(L23="",0,IF(COUNTIF($A$7:$A$22,L23)=1,IFERROR(IF(INDEX($P$7:$P$22,MATCH(L23,$A$7:$A$22,0),1)=0,0,WORKDAY.INTL(INDEX($P$7:$P$22,MATCH(L23,$A$7:$A$22,0),1),1,'設定'!$B$6,'設定'!$J$4:$J$53)),0),0))))</x:f>
        <x:v>46336</x:v>
      </x:c>
      <x:c r="P23" s="163" t="n">
        <x:f>IF(O23="","",WORKDAY.INTL(O23,N23-1,'設定'!$B$6,'設定'!$J$4:$J$53))</x:f>
        <x:v>46337</x:v>
      </x:c>
      <x:c r="Q23" s="169"/>
      <x:c r="R23" s="169"/>
      <x:c r="S23" s="143" t="n">
        <x:v>1</x:v>
      </x:c>
      <x:c r="T23" s="143" t="n">
        <x:v>0</x:v>
      </x:c>
      <x:c r="U23" s="175" t="n">
        <x:f>IFERROR(T23/S23,0)</x:f>
        <x:v>0</x:v>
      </x:c>
      <x:c r="V23" s="91" t="str">
        <x:f>IF(U23&gt;=1,IF(R23="","完了（実績日未確認）",IF(P23="","完了",IF(R23&gt;P23,"完了（遅延）","完了"))),IF(G23="04.保留","保留",IF(O23="","未計画",IF('設定'!$B$5&gt;P23,IF(G23="00.未確認","要確認（期限超過）","遅延"),IF('設定'!$B$5&gt;=O23,IF(G23="00.未確認","状況要確認",IF(Q23="","開始要確認","予定内")),"予定前")))))</x:f>
        <x:v>予定前</x:v>
      </x:c>
      <x:c r="W23" s="56" t="str">
        <x:v>17</x:v>
      </x:c>
      <x:c r="X23" s="56" t="str">
        <x:v>原資料展開</x:v>
      </x:c>
      <x:c r="Y23" s="56" t="str">
        <x:v>品質基準・照合基準・データオーナー一覧</x:v>
      </x:c>
      <x:c r="Z23" s="56" t="str">
        <x:v>Omni2Fabricと同様の基準を想定。適用可否を確認。</x:v>
      </x:c>
      <x:c r="AA23" s="181" t="str">
        <x:f>IF(AND(IF(J23="",TRUE,COUNTIF($A$7:$A$22,J23)=1),IF(K23="",TRUE,COUNTIF($A$7:$A$22,K23)=1),IF(L23="",TRUE,COUNTIF($A$7:$A$22,L23)=1),COUNTIF($A$7:$A$107,A23)=1,AND(M23&gt;=1,MOD(M23,1)=0,N23&gt;=0,MOD(N23,1)=0,S23&gt;0,T23&gt;=0,T23&lt;=S23),OR(R23="",AND(Q23&lt;&gt;"",R23&gt;=Q23)),IF(OR(G23="05.完了",G23="06.完了（資料記載）"),U23=1,TRUE),IF(N23=0,U23=1,TRUE)),"OK","要確認")</x:f>
        <x:v>OK</x:v>
      </x:c>
    </x:row>
    <x:row r="24" ht="54" customHeight="1">
      <x:c r="A24" s="135" t="str">
        <x:v>00018</x:v>
      </x:c>
      <x:c r="B24" s="192" t="str">
        <x:v>02.要件・設計</x:v>
      </x:c>
      <x:c r="C24" s="48" t="str">
        <x:v>テーブル・行・列の閲覧制御設計</x:v>
      </x:c>
      <x:c r="D24" s="85" t="str">
        <x:v>基盤／セキュリティ担当（要確定）</x:v>
      </x:c>
      <x:c r="E24" s="48" t="str">
        <x:v>Fabric</x:v>
      </x:c>
      <x:c r="F24" s="143" t="str">
        <x:v>1.高</x:v>
      </x:c>
      <x:c r="G24" s="85" t="str">
        <x:v>00.未確認</x:v>
      </x:c>
      <x:c r="H24" s="149" t="str">
        <x:v>設計</x:v>
      </x:c>
      <x:c r="I24" s="48" t="str">
        <x:v>共通</x:v>
      </x:c>
      <x:c r="J24" s="157" t="str">
        <x:v>00015</x:v>
      </x:c>
      <x:c r="K24" s="157" t="str"/>
      <x:c r="L24" s="157" t="str"/>
      <x:c r="M24" s="143" t="n">
        <x:v>1</x:v>
      </x:c>
      <x:c r="N24" s="143" t="n">
        <x:v>2</x:v>
      </x:c>
      <x:c r="O24" s="163" t="n">
        <x:f>IF(OR('設定'!$B$4="",N24=0),"",MAX(WORKDAY.INTL('設定'!$B$4-1,M24,'設定'!$B$6,'設定'!$J$4:$J$53),IF(J24="",0,IF(COUNTIF($A$7:$A$23,J24)=1,IFERROR(IF(INDEX($P$7:$P$23,MATCH(J24,$A$7:$A$23,0),1)=0,0,WORKDAY.INTL(INDEX($P$7:$P$23,MATCH(J24,$A$7:$A$23,0),1),1,'設定'!$B$6,'設定'!$J$4:$J$53)),0),0)),IF(K24="",0,IF(COUNTIF($A$7:$A$23,K24)=1,IFERROR(IF(INDEX($P$7:$P$23,MATCH(K24,$A$7:$A$23,0),1)=0,0,WORKDAY.INTL(INDEX($P$7:$P$23,MATCH(K24,$A$7:$A$23,0),1),1,'設定'!$B$6,'設定'!$J$4:$J$53)),0),0)),IF(L24="",0,IF(COUNTIF($A$7:$A$23,L24)=1,IFERROR(IF(INDEX($P$7:$P$23,MATCH(L24,$A$7:$A$23,0),1)=0,0,WORKDAY.INTL(INDEX($P$7:$P$23,MATCH(L24,$A$7:$A$23,0),1),1,'設定'!$B$6,'設定'!$J$4:$J$53)),0),0))))</x:f>
        <x:v>46336</x:v>
      </x:c>
      <x:c r="P24" s="163" t="n">
        <x:f>IF(O24="","",WORKDAY.INTL(O24,N24-1,'設定'!$B$6,'設定'!$J$4:$J$53))</x:f>
        <x:v>46337</x:v>
      </x:c>
      <x:c r="Q24" s="169"/>
      <x:c r="R24" s="169"/>
      <x:c r="S24" s="143" t="n">
        <x:v>1</x:v>
      </x:c>
      <x:c r="T24" s="143" t="n">
        <x:v>0</x:v>
      </x:c>
      <x:c r="U24" s="175" t="n">
        <x:f>IFERROR(T24/S24,0)</x:f>
        <x:v>0</x:v>
      </x:c>
      <x:c r="V24" s="91" t="str">
        <x:f>IF(U24&gt;=1,IF(R24="","完了（実績日未確認）",IF(P24="","完了",IF(R24&gt;P24,"完了（遅延）","完了"))),IF(G24="04.保留","保留",IF(O24="","未計画",IF('設定'!$B$5&gt;P24,IF(G24="00.未確認","要確認（期限超過）","遅延"),IF('設定'!$B$5&gt;=O24,IF(G24="00.未確認","状況要確認",IF(Q24="","開始要確認","予定内")),"予定前")))))</x:f>
        <x:v>予定前</x:v>
      </x:c>
      <x:c r="W24" s="48" t="str">
        <x:v>18</x:v>
      </x:c>
      <x:c r="X24" s="48" t="str">
        <x:v>原資料展開</x:v>
      </x:c>
      <x:c r="Y24" s="48" t="str">
        <x:v>データ閲覧範囲・ロール・適用単位の設計</x:v>
      </x:c>
      <x:c r="Z24" s="48" t="str"/>
      <x:c r="AA24" s="181" t="str">
        <x:f>IF(AND(IF(J24="",TRUE,COUNTIF($A$7:$A$23,J24)=1),IF(K24="",TRUE,COUNTIF($A$7:$A$23,K24)=1),IF(L24="",TRUE,COUNTIF($A$7:$A$23,L24)=1),COUNTIF($A$7:$A$107,A24)=1,AND(M24&gt;=1,MOD(M24,1)=0,N24&gt;=0,MOD(N24,1)=0,S24&gt;0,T24&gt;=0,T24&lt;=S24),OR(R24="",AND(Q24&lt;&gt;"",R24&gt;=Q24)),IF(OR(G24="05.完了",G24="06.完了（資料記載）"),U24=1,TRUE),IF(N24=0,U24=1,TRUE)),"OK","要確認")</x:f>
        <x:v>OK</x:v>
      </x:c>
    </x:row>
    <x:row r="25" ht="54" customHeight="1">
      <x:c r="A25" s="136" t="str">
        <x:v>00019</x:v>
      </x:c>
      <x:c r="B25" s="192" t="str">
        <x:v>02.要件・設計</x:v>
      </x:c>
      <x:c r="C25" s="56" t="str">
        <x:v>Product：出力仕様・更新条件・SLAの確定</x:v>
      </x:c>
      <x:c r="D25" s="85" t="str">
        <x:v>業務／設計担当（要確定）</x:v>
      </x:c>
      <x:c r="E25" s="56" t="str">
        <x:v>Fabric</x:v>
      </x:c>
      <x:c r="F25" s="143" t="str">
        <x:v>1.高</x:v>
      </x:c>
      <x:c r="G25" s="85" t="str">
        <x:v>00.未確認</x:v>
      </x:c>
      <x:c r="H25" s="150" t="str">
        <x:v>設計</x:v>
      </x:c>
      <x:c r="I25" s="56" t="str">
        <x:v>Product</x:v>
      </x:c>
      <x:c r="J25" s="157" t="str">
        <x:v>00006</x:v>
      </x:c>
      <x:c r="K25" s="157" t="str">
        <x:v>00007</x:v>
      </x:c>
      <x:c r="L25" s="157" t="str">
        <x:v>00017</x:v>
      </x:c>
      <x:c r="M25" s="143" t="n">
        <x:v>1</x:v>
      </x:c>
      <x:c r="N25" s="143" t="n">
        <x:v>3</x:v>
      </x:c>
      <x:c r="O25" s="163" t="n">
        <x:f>IF(OR('設定'!$B$4="",N25=0),"",MAX(WORKDAY.INTL('設定'!$B$4-1,M25,'設定'!$B$6,'設定'!$J$4:$J$53),IF(J25="",0,IF(COUNTIF($A$7:$A$24,J25)=1,IFERROR(IF(INDEX($P$7:$P$24,MATCH(J25,$A$7:$A$24,0),1)=0,0,WORKDAY.INTL(INDEX($P$7:$P$24,MATCH(J25,$A$7:$A$24,0),1),1,'設定'!$B$6,'設定'!$J$4:$J$53)),0),0)),IF(K25="",0,IF(COUNTIF($A$7:$A$24,K25)=1,IFERROR(IF(INDEX($P$7:$P$24,MATCH(K25,$A$7:$A$24,0),1)=0,0,WORKDAY.INTL(INDEX($P$7:$P$24,MATCH(K25,$A$7:$A$24,0),1),1,'設定'!$B$6,'設定'!$J$4:$J$53)),0),0)),IF(L25="",0,IF(COUNTIF($A$7:$A$24,L25)=1,IFERROR(IF(INDEX($P$7:$P$24,MATCH(L25,$A$7:$A$24,0),1)=0,0,WORKDAY.INTL(INDEX($P$7:$P$24,MATCH(L25,$A$7:$A$24,0),1),1,'設定'!$B$6,'設定'!$J$4:$J$53)),0),0))))</x:f>
        <x:v>46338</x:v>
      </x:c>
      <x:c r="P25" s="163" t="n">
        <x:f>IF(O25="","",WORKDAY.INTL(O25,N25-1,'設定'!$B$6,'設定'!$J$4:$J$53))</x:f>
        <x:v>46342</x:v>
      </x:c>
      <x:c r="Q25" s="169"/>
      <x:c r="R25" s="169"/>
      <x:c r="S25" s="143" t="n">
        <x:v>1</x:v>
      </x:c>
      <x:c r="T25" s="143" t="n">
        <x:v>0</x:v>
      </x:c>
      <x:c r="U25" s="175" t="n">
        <x:f>IFERROR(T25/S25,0)</x:f>
        <x:v>0</x:v>
      </x:c>
      <x:c r="V25" s="91" t="str">
        <x:f>IF(U25&gt;=1,IF(R25="","完了（実績日未確認）",IF(P25="","完了",IF(R25&gt;P25,"完了（遅延）","完了"))),IF(G25="04.保留","保留",IF(O25="","未計画",IF('設定'!$B$5&gt;P25,IF(G25="00.未確認","要確認（期限超過）","遅延"),IF('設定'!$B$5&gt;=O25,IF(G25="00.未確認","状況要確認",IF(Q25="","開始要確認","予定内")),"予定前")))))</x:f>
        <x:v>予定前</x:v>
      </x:c>
      <x:c r="W25" s="56" t="str">
        <x:v>19</x:v>
      </x:c>
      <x:c r="X25" s="56" t="str">
        <x:v>原資料展開</x:v>
      </x:c>
      <x:c r="Y25" s="56" t="str">
        <x:v>出力列・型・設定値・更新頻度・時刻・SLA・例外通知の合意</x:v>
      </x:c>
      <x:c r="Z25" s="56" t="str"/>
      <x:c r="AA25" s="181" t="str">
        <x:f>IF(AND(IF(J25="",TRUE,COUNTIF($A$7:$A$24,J25)=1),IF(K25="",TRUE,COUNTIF($A$7:$A$24,K25)=1),IF(L25="",TRUE,COUNTIF($A$7:$A$24,L25)=1),COUNTIF($A$7:$A$107,A25)=1,AND(M25&gt;=1,MOD(M25,1)=0,N25&gt;=0,MOD(N25,1)=0,S25&gt;0,T25&gt;=0,T25&lt;=S25),OR(R25="",AND(Q25&lt;&gt;"",R25&gt;=Q25)),IF(OR(G25="05.完了",G25="06.完了（資料記載）"),U25=1,TRUE),IF(N25=0,U25=1,TRUE)),"OK","要確認")</x:f>
        <x:v>OK</x:v>
      </x:c>
    </x:row>
    <x:row r="26" ht="54" customHeight="1">
      <x:c r="A26" s="135" t="str">
        <x:v>00020</x:v>
      </x:c>
      <x:c r="B26" s="192" t="str">
        <x:v>02.要件・設計</x:v>
      </x:c>
      <x:c r="C26" s="48" t="str">
        <x:v>Contact：出力仕様・更新条件・SLAの確定</x:v>
      </x:c>
      <x:c r="D26" s="85" t="str">
        <x:v>業務／設計担当（要確定）</x:v>
      </x:c>
      <x:c r="E26" s="48" t="str">
        <x:v>Fabric</x:v>
      </x:c>
      <x:c r="F26" s="143" t="str">
        <x:v>1.高</x:v>
      </x:c>
      <x:c r="G26" s="85" t="str">
        <x:v>00.未確認</x:v>
      </x:c>
      <x:c r="H26" s="149" t="str">
        <x:v>設計</x:v>
      </x:c>
      <x:c r="I26" s="48" t="str">
        <x:v>Contact</x:v>
      </x:c>
      <x:c r="J26" s="157" t="str">
        <x:v>00006</x:v>
      </x:c>
      <x:c r="K26" s="157" t="str">
        <x:v>00007</x:v>
      </x:c>
      <x:c r="L26" s="157" t="str">
        <x:v>00017</x:v>
      </x:c>
      <x:c r="M26" s="143" t="n">
        <x:v>1</x:v>
      </x:c>
      <x:c r="N26" s="143" t="n">
        <x:v>3</x:v>
      </x:c>
      <x:c r="O26" s="163" t="n">
        <x:f>IF(OR('設定'!$B$4="",N26=0),"",MAX(WORKDAY.INTL('設定'!$B$4-1,M26,'設定'!$B$6,'設定'!$J$4:$J$53),IF(J26="",0,IF(COUNTIF($A$7:$A$25,J26)=1,IFERROR(IF(INDEX($P$7:$P$25,MATCH(J26,$A$7:$A$25,0),1)=0,0,WORKDAY.INTL(INDEX($P$7:$P$25,MATCH(J26,$A$7:$A$25,0),1),1,'設定'!$B$6,'設定'!$J$4:$J$53)),0),0)),IF(K26="",0,IF(COUNTIF($A$7:$A$25,K26)=1,IFERROR(IF(INDEX($P$7:$P$25,MATCH(K26,$A$7:$A$25,0),1)=0,0,WORKDAY.INTL(INDEX($P$7:$P$25,MATCH(K26,$A$7:$A$25,0),1),1,'設定'!$B$6,'設定'!$J$4:$J$53)),0),0)),IF(L26="",0,IF(COUNTIF($A$7:$A$25,L26)=1,IFERROR(IF(INDEX($P$7:$P$25,MATCH(L26,$A$7:$A$25,0),1)=0,0,WORKDAY.INTL(INDEX($P$7:$P$25,MATCH(L26,$A$7:$A$25,0),1),1,'設定'!$B$6,'設定'!$J$4:$J$53)),0),0))))</x:f>
        <x:v>46338</x:v>
      </x:c>
      <x:c r="P26" s="163" t="n">
        <x:f>IF(O26="","",WORKDAY.INTL(O26,N26-1,'設定'!$B$6,'設定'!$J$4:$J$53))</x:f>
        <x:v>46342</x:v>
      </x:c>
      <x:c r="Q26" s="169"/>
      <x:c r="R26" s="169"/>
      <x:c r="S26" s="143" t="n">
        <x:v>1</x:v>
      </x:c>
      <x:c r="T26" s="143" t="n">
        <x:v>0</x:v>
      </x:c>
      <x:c r="U26" s="175" t="n">
        <x:f>IFERROR(T26/S26,0)</x:f>
        <x:v>0</x:v>
      </x:c>
      <x:c r="V26" s="91" t="str">
        <x:f>IF(U26&gt;=1,IF(R26="","完了（実績日未確認）",IF(P26="","完了",IF(R26&gt;P26,"完了（遅延）","完了"))),IF(G26="04.保留","保留",IF(O26="","未計画",IF('設定'!$B$5&gt;P26,IF(G26="00.未確認","要確認（期限超過）","遅延"),IF('設定'!$B$5&gt;=O26,IF(G26="00.未確認","状況要確認",IF(Q26="","開始要確認","予定内")),"予定前")))))</x:f>
        <x:v>予定前</x:v>
      </x:c>
      <x:c r="W26" s="48" t="str">
        <x:v>20</x:v>
      </x:c>
      <x:c r="X26" s="48" t="str">
        <x:v>原資料展開</x:v>
      </x:c>
      <x:c r="Y26" s="48" t="str">
        <x:v>出力列・型・設定値・更新頻度・時刻・SLA・例外通知の合意</x:v>
      </x:c>
      <x:c r="Z26" s="48" t="str"/>
      <x:c r="AA26" s="181" t="str">
        <x:f>IF(AND(IF(J26="",TRUE,COUNTIF($A$7:$A$25,J26)=1),IF(K26="",TRUE,COUNTIF($A$7:$A$25,K26)=1),IF(L26="",TRUE,COUNTIF($A$7:$A$25,L26)=1),COUNTIF($A$7:$A$107,A26)=1,AND(M26&gt;=1,MOD(M26,1)=0,N26&gt;=0,MOD(N26,1)=0,S26&gt;0,T26&gt;=0,T26&lt;=S26),OR(R26="",AND(Q26&lt;&gt;"",R26&gt;=Q26)),IF(OR(G26="05.完了",G26="06.完了（資料記載）"),U26=1,TRUE),IF(N26=0,U26=1,TRUE)),"OK","要確認")</x:f>
        <x:v>OK</x:v>
      </x:c>
    </x:row>
    <x:row r="27" ht="54" customHeight="1">
      <x:c r="A27" s="136" t="str">
        <x:v>00021</x:v>
      </x:c>
      <x:c r="B27" s="192" t="str">
        <x:v>02.要件・設計</x:v>
      </x:c>
      <x:c r="C27" s="56" t="str">
        <x:v>Account：出力仕様・更新条件・SLAの確定</x:v>
      </x:c>
      <x:c r="D27" s="85" t="str">
        <x:v>業務／設計担当（要確定）</x:v>
      </x:c>
      <x:c r="E27" s="56" t="str">
        <x:v>Fabric</x:v>
      </x:c>
      <x:c r="F27" s="143" t="str">
        <x:v>1.高</x:v>
      </x:c>
      <x:c r="G27" s="85" t="str">
        <x:v>00.未確認</x:v>
      </x:c>
      <x:c r="H27" s="150" t="str">
        <x:v>設計</x:v>
      </x:c>
      <x:c r="I27" s="56" t="str">
        <x:v>Account</x:v>
      </x:c>
      <x:c r="J27" s="157" t="str">
        <x:v>00006</x:v>
      </x:c>
      <x:c r="K27" s="157" t="str">
        <x:v>00007</x:v>
      </x:c>
      <x:c r="L27" s="157" t="str">
        <x:v>00017</x:v>
      </x:c>
      <x:c r="M27" s="143" t="n">
        <x:v>1</x:v>
      </x:c>
      <x:c r="N27" s="143" t="n">
        <x:v>3</x:v>
      </x:c>
      <x:c r="O27" s="163" t="n">
        <x:f>IF(OR('設定'!$B$4="",N27=0),"",MAX(WORKDAY.INTL('設定'!$B$4-1,M27,'設定'!$B$6,'設定'!$J$4:$J$53),IF(J27="",0,IF(COUNTIF($A$7:$A$26,J27)=1,IFERROR(IF(INDEX($P$7:$P$26,MATCH(J27,$A$7:$A$26,0),1)=0,0,WORKDAY.INTL(INDEX($P$7:$P$26,MATCH(J27,$A$7:$A$26,0),1),1,'設定'!$B$6,'設定'!$J$4:$J$53)),0),0)),IF(K27="",0,IF(COUNTIF($A$7:$A$26,K27)=1,IFERROR(IF(INDEX($P$7:$P$26,MATCH(K27,$A$7:$A$26,0),1)=0,0,WORKDAY.INTL(INDEX($P$7:$P$26,MATCH(K27,$A$7:$A$26,0),1),1,'設定'!$B$6,'設定'!$J$4:$J$53)),0),0)),IF(L27="",0,IF(COUNTIF($A$7:$A$26,L27)=1,IFERROR(IF(INDEX($P$7:$P$26,MATCH(L27,$A$7:$A$26,0),1)=0,0,WORKDAY.INTL(INDEX($P$7:$P$26,MATCH(L27,$A$7:$A$26,0),1),1,'設定'!$B$6,'設定'!$J$4:$J$53)),0),0))))</x:f>
        <x:v>46338</x:v>
      </x:c>
      <x:c r="P27" s="163" t="n">
        <x:f>IF(O27="","",WORKDAY.INTL(O27,N27-1,'設定'!$B$6,'設定'!$J$4:$J$53))</x:f>
        <x:v>46342</x:v>
      </x:c>
      <x:c r="Q27" s="169"/>
      <x:c r="R27" s="169"/>
      <x:c r="S27" s="143" t="n">
        <x:v>1</x:v>
      </x:c>
      <x:c r="T27" s="143" t="n">
        <x:v>0</x:v>
      </x:c>
      <x:c r="U27" s="175" t="n">
        <x:f>IFERROR(T27/S27,0)</x:f>
        <x:v>0</x:v>
      </x:c>
      <x:c r="V27" s="91" t="str">
        <x:f>IF(U27&gt;=1,IF(R27="","完了（実績日未確認）",IF(P27="","完了",IF(R27&gt;P27,"完了（遅延）","完了"))),IF(G27="04.保留","保留",IF(O27="","未計画",IF('設定'!$B$5&gt;P27,IF(G27="00.未確認","要確認（期限超過）","遅延"),IF('設定'!$B$5&gt;=O27,IF(G27="00.未確認","状況要確認",IF(Q27="","開始要確認","予定内")),"予定前")))))</x:f>
        <x:v>予定前</x:v>
      </x:c>
      <x:c r="W27" s="56" t="str">
        <x:v>21</x:v>
      </x:c>
      <x:c r="X27" s="56" t="str">
        <x:v>原資料展開</x:v>
      </x:c>
      <x:c r="Y27" s="56" t="str">
        <x:v>出力列・型・設定値・更新頻度・時刻・SLA・例外通知の合意</x:v>
      </x:c>
      <x:c r="Z27" s="56" t="str"/>
      <x:c r="AA27" s="181" t="str">
        <x:f>IF(AND(IF(J27="",TRUE,COUNTIF($A$7:$A$26,J27)=1),IF(K27="",TRUE,COUNTIF($A$7:$A$26,K27)=1),IF(L27="",TRUE,COUNTIF($A$7:$A$26,L27)=1),COUNTIF($A$7:$A$107,A27)=1,AND(M27&gt;=1,MOD(M27,1)=0,N27&gt;=0,MOD(N27,1)=0,S27&gt;0,T27&gt;=0,T27&lt;=S27),OR(R27="",AND(Q27&lt;&gt;"",R27&gt;=Q27)),IF(OR(G27="05.完了",G27="06.完了（資料記載）"),U27=1,TRUE),IF(N27=0,U27=1,TRUE)),"OK","要確認")</x:f>
        <x:v>OK</x:v>
      </x:c>
    </x:row>
    <x:row r="28" ht="54" customHeight="1">
      <x:c r="A28" s="135" t="str">
        <x:v>00022</x:v>
      </x:c>
      <x:c r="B28" s="192" t="str">
        <x:v>02.要件・設計</x:v>
      </x:c>
      <x:c r="C28" s="48" t="str">
        <x:v>AccountContact：出力仕様・更新条件・SLAの確定</x:v>
      </x:c>
      <x:c r="D28" s="85" t="str">
        <x:v>業務／設計担当（要確定）</x:v>
      </x:c>
      <x:c r="E28" s="48" t="str">
        <x:v>Fabric</x:v>
      </x:c>
      <x:c r="F28" s="143" t="str">
        <x:v>1.高</x:v>
      </x:c>
      <x:c r="G28" s="85" t="str">
        <x:v>00.未確認</x:v>
      </x:c>
      <x:c r="H28" s="149" t="str">
        <x:v>設計</x:v>
      </x:c>
      <x:c r="I28" s="48" t="str">
        <x:v>AccountContact</x:v>
      </x:c>
      <x:c r="J28" s="157" t="str">
        <x:v>00006</x:v>
      </x:c>
      <x:c r="K28" s="157" t="str">
        <x:v>00007</x:v>
      </x:c>
      <x:c r="L28" s="157" t="str">
        <x:v>00017</x:v>
      </x:c>
      <x:c r="M28" s="143" t="n">
        <x:v>1</x:v>
      </x:c>
      <x:c r="N28" s="143" t="n">
        <x:v>3</x:v>
      </x:c>
      <x:c r="O28" s="163" t="n">
        <x:f>IF(OR('設定'!$B$4="",N28=0),"",MAX(WORKDAY.INTL('設定'!$B$4-1,M28,'設定'!$B$6,'設定'!$J$4:$J$53),IF(J28="",0,IF(COUNTIF($A$7:$A$27,J28)=1,IFERROR(IF(INDEX($P$7:$P$27,MATCH(J28,$A$7:$A$27,0),1)=0,0,WORKDAY.INTL(INDEX($P$7:$P$27,MATCH(J28,$A$7:$A$27,0),1),1,'設定'!$B$6,'設定'!$J$4:$J$53)),0),0)),IF(K28="",0,IF(COUNTIF($A$7:$A$27,K28)=1,IFERROR(IF(INDEX($P$7:$P$27,MATCH(K28,$A$7:$A$27,0),1)=0,0,WORKDAY.INTL(INDEX($P$7:$P$27,MATCH(K28,$A$7:$A$27,0),1),1,'設定'!$B$6,'設定'!$J$4:$J$53)),0),0)),IF(L28="",0,IF(COUNTIF($A$7:$A$27,L28)=1,IFERROR(IF(INDEX($P$7:$P$27,MATCH(L28,$A$7:$A$27,0),1)=0,0,WORKDAY.INTL(INDEX($P$7:$P$27,MATCH(L28,$A$7:$A$27,0),1),1,'設定'!$B$6,'設定'!$J$4:$J$53)),0),0))))</x:f>
        <x:v>46338</x:v>
      </x:c>
      <x:c r="P28" s="163" t="n">
        <x:f>IF(O28="","",WORKDAY.INTL(O28,N28-1,'設定'!$B$6,'設定'!$J$4:$J$53))</x:f>
        <x:v>46342</x:v>
      </x:c>
      <x:c r="Q28" s="169"/>
      <x:c r="R28" s="169"/>
      <x:c r="S28" s="143" t="n">
        <x:v>1</x:v>
      </x:c>
      <x:c r="T28" s="143" t="n">
        <x:v>0</x:v>
      </x:c>
      <x:c r="U28" s="175" t="n">
        <x:f>IFERROR(T28/S28,0)</x:f>
        <x:v>0</x:v>
      </x:c>
      <x:c r="V28" s="91" t="str">
        <x:f>IF(U28&gt;=1,IF(R28="","完了（実績日未確認）",IF(P28="","完了",IF(R28&gt;P28,"完了（遅延）","完了"))),IF(G28="04.保留","保留",IF(O28="","未計画",IF('設定'!$B$5&gt;P28,IF(G28="00.未確認","要確認（期限超過）","遅延"),IF('設定'!$B$5&gt;=O28,IF(G28="00.未確認","状況要確認",IF(Q28="","開始要確認","予定内")),"予定前")))))</x:f>
        <x:v>予定前</x:v>
      </x:c>
      <x:c r="W28" s="48" t="str">
        <x:v>22</x:v>
      </x:c>
      <x:c r="X28" s="48" t="str">
        <x:v>原資料展開</x:v>
      </x:c>
      <x:c r="Y28" s="48" t="str">
        <x:v>出力列・型・設定値・更新頻度・時刻・SLA・例外通知の合意</x:v>
      </x:c>
      <x:c r="Z28" s="48" t="str"/>
      <x:c r="AA28" s="181" t="str">
        <x:f>IF(AND(IF(J28="",TRUE,COUNTIF($A$7:$A$27,J28)=1),IF(K28="",TRUE,COUNTIF($A$7:$A$27,K28)=1),IF(L28="",TRUE,COUNTIF($A$7:$A$27,L28)=1),COUNTIF($A$7:$A$107,A28)=1,AND(M28&gt;=1,MOD(M28,1)=0,N28&gt;=0,MOD(N28,1)=0,S28&gt;0,T28&gt;=0,T28&lt;=S28),OR(R28="",AND(Q28&lt;&gt;"",R28&gt;=Q28)),IF(OR(G28="05.完了",G28="06.完了（資料記載）"),U28=1,TRUE),IF(N28=0,U28=1,TRUE)),"OK","要確認")</x:f>
        <x:v>OK</x:v>
      </x:c>
    </x:row>
    <x:row r="29" ht="54" customHeight="1">
      <x:c r="A29" s="136" t="str">
        <x:v>00023</x:v>
      </x:c>
      <x:c r="B29" s="192" t="str">
        <x:v>02.要件・設計</x:v>
      </x:c>
      <x:c r="C29" s="56" t="str">
        <x:v>SalesRepHospital：出力仕様・更新条件・SLAの確定</x:v>
      </x:c>
      <x:c r="D29" s="85" t="str">
        <x:v>業務／設計担当（要確定）</x:v>
      </x:c>
      <x:c r="E29" s="56" t="str">
        <x:v>Fabric</x:v>
      </x:c>
      <x:c r="F29" s="143" t="str">
        <x:v>1.高</x:v>
      </x:c>
      <x:c r="G29" s="85" t="str">
        <x:v>00.未確認</x:v>
      </x:c>
      <x:c r="H29" s="150" t="str">
        <x:v>設計</x:v>
      </x:c>
      <x:c r="I29" s="56" t="str">
        <x:v>SalesRepHospital</x:v>
      </x:c>
      <x:c r="J29" s="157" t="str">
        <x:v>00006</x:v>
      </x:c>
      <x:c r="K29" s="157" t="str">
        <x:v>00007</x:v>
      </x:c>
      <x:c r="L29" s="157" t="str">
        <x:v>00017</x:v>
      </x:c>
      <x:c r="M29" s="143" t="n">
        <x:v>1</x:v>
      </x:c>
      <x:c r="N29" s="143" t="n">
        <x:v>3</x:v>
      </x:c>
      <x:c r="O29" s="163" t="n">
        <x:f>IF(OR('設定'!$B$4="",N29=0),"",MAX(WORKDAY.INTL('設定'!$B$4-1,M29,'設定'!$B$6,'設定'!$J$4:$J$53),IF(J29="",0,IF(COUNTIF($A$7:$A$28,J29)=1,IFERROR(IF(INDEX($P$7:$P$28,MATCH(J29,$A$7:$A$28,0),1)=0,0,WORKDAY.INTL(INDEX($P$7:$P$28,MATCH(J29,$A$7:$A$28,0),1),1,'設定'!$B$6,'設定'!$J$4:$J$53)),0),0)),IF(K29="",0,IF(COUNTIF($A$7:$A$28,K29)=1,IFERROR(IF(INDEX($P$7:$P$28,MATCH(K29,$A$7:$A$28,0),1)=0,0,WORKDAY.INTL(INDEX($P$7:$P$28,MATCH(K29,$A$7:$A$28,0),1),1,'設定'!$B$6,'設定'!$J$4:$J$53)),0),0)),IF(L29="",0,IF(COUNTIF($A$7:$A$28,L29)=1,IFERROR(IF(INDEX($P$7:$P$28,MATCH(L29,$A$7:$A$28,0),1)=0,0,WORKDAY.INTL(INDEX($P$7:$P$28,MATCH(L29,$A$7:$A$28,0),1),1,'設定'!$B$6,'設定'!$J$4:$J$53)),0),0))))</x:f>
        <x:v>46338</x:v>
      </x:c>
      <x:c r="P29" s="163" t="n">
        <x:f>IF(O29="","",WORKDAY.INTL(O29,N29-1,'設定'!$B$6,'設定'!$J$4:$J$53))</x:f>
        <x:v>46342</x:v>
      </x:c>
      <x:c r="Q29" s="169"/>
      <x:c r="R29" s="169"/>
      <x:c r="S29" s="143" t="n">
        <x:v>1</x:v>
      </x:c>
      <x:c r="T29" s="143" t="n">
        <x:v>0</x:v>
      </x:c>
      <x:c r="U29" s="175" t="n">
        <x:f>IFERROR(T29/S29,0)</x:f>
        <x:v>0</x:v>
      </x:c>
      <x:c r="V29" s="91" t="str">
        <x:f>IF(U29&gt;=1,IF(R29="","完了（実績日未確認）",IF(P29="","完了",IF(R29&gt;P29,"完了（遅延）","完了"))),IF(G29="04.保留","保留",IF(O29="","未計画",IF('設定'!$B$5&gt;P29,IF(G29="00.未確認","要確認（期限超過）","遅延"),IF('設定'!$B$5&gt;=O29,IF(G29="00.未確認","状況要確認",IF(Q29="","開始要確認","予定内")),"予定前")))))</x:f>
        <x:v>予定前</x:v>
      </x:c>
      <x:c r="W29" s="56" t="str">
        <x:v>23</x:v>
      </x:c>
      <x:c r="X29" s="56" t="str">
        <x:v>原資料展開</x:v>
      </x:c>
      <x:c r="Y29" s="56" t="str">
        <x:v>出力列・型・設定値・更新頻度・時刻・SLA・例外通知の合意</x:v>
      </x:c>
      <x:c r="Z29" s="56" t="str"/>
      <x:c r="AA29" s="181" t="str">
        <x:f>IF(AND(IF(J29="",TRUE,COUNTIF($A$7:$A$28,J29)=1),IF(K29="",TRUE,COUNTIF($A$7:$A$28,K29)=1),IF(L29="",TRUE,COUNTIF($A$7:$A$28,L29)=1),COUNTIF($A$7:$A$107,A29)=1,AND(M29&gt;=1,MOD(M29,1)=0,N29&gt;=0,MOD(N29,1)=0,S29&gt;0,T29&gt;=0,T29&lt;=S29),OR(R29="",AND(Q29&lt;&gt;"",R29&gt;=Q29)),IF(OR(G29="05.完了",G29="06.完了（資料記載）"),U29=1,TRUE),IF(N29=0,U29=1,TRUE)),"OK","要確認")</x:f>
        <x:v>OK</x:v>
      </x:c>
    </x:row>
    <x:row r="30" ht="54" customHeight="1">
      <x:c r="A30" s="135" t="str">
        <x:v>00024</x:v>
      </x:c>
      <x:c r="B30" s="194" t="str">
        <x:v>03.事前検証</x:v>
      </x:c>
      <x:c r="C30" s="48" t="str">
        <x:v>DEVワークスペース作成・検証権限付与</x:v>
      </x:c>
      <x:c r="D30" s="85" t="str">
        <x:v>基盤担当（要確定）</x:v>
      </x:c>
      <x:c r="E30" s="48" t="str">
        <x:v>Fabric</x:v>
      </x:c>
      <x:c r="F30" s="143" t="str">
        <x:v>1.高</x:v>
      </x:c>
      <x:c r="G30" s="85" t="str">
        <x:v>00.未確認</x:v>
      </x:c>
      <x:c r="H30" s="149" t="str">
        <x:v>開発</x:v>
      </x:c>
      <x:c r="I30" s="48" t="str">
        <x:v>共通</x:v>
      </x:c>
      <x:c r="J30" s="157" t="str">
        <x:v>00015</x:v>
      </x:c>
      <x:c r="K30" s="157" t="str">
        <x:v>00018</x:v>
      </x:c>
      <x:c r="L30" s="157" t="str"/>
      <x:c r="M30" s="143" t="n">
        <x:v>1</x:v>
      </x:c>
      <x:c r="N30" s="143" t="n">
        <x:v>2</x:v>
      </x:c>
      <x:c r="O30" s="163" t="n">
        <x:f>IF(OR('設定'!$B$4="",N30=0),"",MAX(WORKDAY.INTL('設定'!$B$4-1,M30,'設定'!$B$6,'設定'!$J$4:$J$53),IF(J30="",0,IF(COUNTIF($A$7:$A$29,J30)=1,IFERROR(IF(INDEX($P$7:$P$29,MATCH(J30,$A$7:$A$29,0),1)=0,0,WORKDAY.INTL(INDEX($P$7:$P$29,MATCH(J30,$A$7:$A$29,0),1),1,'設定'!$B$6,'設定'!$J$4:$J$53)),0),0)),IF(K30="",0,IF(COUNTIF($A$7:$A$29,K30)=1,IFERROR(IF(INDEX($P$7:$P$29,MATCH(K30,$A$7:$A$29,0),1)=0,0,WORKDAY.INTL(INDEX($P$7:$P$29,MATCH(K30,$A$7:$A$29,0),1),1,'設定'!$B$6,'設定'!$J$4:$J$53)),0),0)),IF(L30="",0,IF(COUNTIF($A$7:$A$29,L30)=1,IFERROR(IF(INDEX($P$7:$P$29,MATCH(L30,$A$7:$A$29,0),1)=0,0,WORKDAY.INTL(INDEX($P$7:$P$29,MATCH(L30,$A$7:$A$29,0),1),1,'設定'!$B$6,'設定'!$J$4:$J$53)),0),0))))</x:f>
        <x:v>46338</x:v>
      </x:c>
      <x:c r="P30" s="163" t="n">
        <x:f>IF(O30="","",WORKDAY.INTL(O30,N30-1,'設定'!$B$6,'設定'!$J$4:$J$53))</x:f>
        <x:v>46339</x:v>
      </x:c>
      <x:c r="Q30" s="169"/>
      <x:c r="R30" s="169"/>
      <x:c r="S30" s="143" t="n">
        <x:v>1</x:v>
      </x:c>
      <x:c r="T30" s="143" t="n">
        <x:v>0</x:v>
      </x:c>
      <x:c r="U30" s="175" t="n">
        <x:f>IFERROR(T30/S30,0)</x:f>
        <x:v>0</x:v>
      </x:c>
      <x:c r="V30" s="91" t="str">
        <x:f>IF(U30&gt;=1,IF(R30="","完了（実績日未確認）",IF(P30="","完了",IF(R30&gt;P30,"完了（遅延）","完了"))),IF(G30="04.保留","保留",IF(O30="","未計画",IF('設定'!$B$5&gt;P30,IF(G30="00.未確認","要確認（期限超過）","遅延"),IF('設定'!$B$5&gt;=O30,IF(G30="00.未確認","状況要確認",IF(Q30="","開始要確認","予定内")),"予定前")))))</x:f>
        <x:v>予定前</x:v>
      </x:c>
      <x:c r="W30" s="48" t="str">
        <x:v>30</x:v>
      </x:c>
      <x:c r="X30" s="48" t="str">
        <x:v>原資料展開</x:v>
      </x:c>
      <x:c r="Y30" s="48" t="str">
        <x:v>DEV環境・Lakehouseアクセス・検証実行権限</x:v>
      </x:c>
      <x:c r="Z30" s="48" t="str">
        <x:v>DEV分を先行実施。QA／PRODは後続タスク。</x:v>
      </x:c>
      <x:c r="AA30" s="181" t="str">
        <x:f>IF(AND(IF(J30="",TRUE,COUNTIF($A$7:$A$29,J30)=1),IF(K30="",TRUE,COUNTIF($A$7:$A$29,K30)=1),IF(L30="",TRUE,COUNTIF($A$7:$A$29,L30)=1),COUNTIF($A$7:$A$107,A30)=1,AND(M30&gt;=1,MOD(M30,1)=0,N30&gt;=0,MOD(N30,1)=0,S30&gt;0,T30&gt;=0,T30&lt;=S30),OR(R30="",AND(Q30&lt;&gt;"",R30&gt;=Q30)),IF(OR(G30="05.完了",G30="06.完了（資料記載）"),U30=1,TRUE),IF(N30=0,U30=1,TRUE)),"OK","要確認")</x:f>
        <x:v>OK</x:v>
      </x:c>
    </x:row>
    <x:row r="31" ht="54" customHeight="1">
      <x:c r="A31" s="136" t="str">
        <x:v>00025</x:v>
      </x:c>
      <x:c r="B31" s="194" t="str">
        <x:v>03.事前検証</x:v>
      </x:c>
      <x:c r="C31" s="56" t="str">
        <x:v>OneForceの既存Silverデータ・必要列を確認</x:v>
      </x:c>
      <x:c r="D31" s="85" t="str">
        <x:v>データソース担当（要確定）</x:v>
      </x:c>
      <x:c r="E31" s="56" t="str">
        <x:v>OneForce／SilverLakehouse</x:v>
      </x:c>
      <x:c r="F31" s="143" t="str">
        <x:v>2.中</x:v>
      </x:c>
      <x:c r="G31" s="85" t="str">
        <x:v>00.未確認</x:v>
      </x:c>
      <x:c r="H31" s="150" t="str">
        <x:v>開発</x:v>
      </x:c>
      <x:c r="I31" s="56" t="str">
        <x:v>共通</x:v>
      </x:c>
      <x:c r="J31" s="157" t="str">
        <x:v>00024</x:v>
      </x:c>
      <x:c r="K31" s="157" t="str">
        <x:v>00002</x:v>
      </x:c>
      <x:c r="L31" s="157" t="str"/>
      <x:c r="M31" s="143" t="n">
        <x:v>1</x:v>
      </x:c>
      <x:c r="N31" s="143" t="n">
        <x:v>2</x:v>
      </x:c>
      <x:c r="O31" s="163" t="n">
        <x:f>IF(OR('設定'!$B$4="",N31=0),"",MAX(WORKDAY.INTL('設定'!$B$4-1,M31,'設定'!$B$6,'設定'!$J$4:$J$53),IF(J31="",0,IF(COUNTIF($A$7:$A$30,J31)=1,IFERROR(IF(INDEX($P$7:$P$30,MATCH(J31,$A$7:$A$30,0),1)=0,0,WORKDAY.INTL(INDEX($P$7:$P$30,MATCH(J31,$A$7:$A$30,0),1),1,'設定'!$B$6,'設定'!$J$4:$J$53)),0),0)),IF(K31="",0,IF(COUNTIF($A$7:$A$30,K31)=1,IFERROR(IF(INDEX($P$7:$P$30,MATCH(K31,$A$7:$A$30,0),1)=0,0,WORKDAY.INTL(INDEX($P$7:$P$30,MATCH(K31,$A$7:$A$30,0),1),1,'設定'!$B$6,'設定'!$J$4:$J$53)),0),0)),IF(L31="",0,IF(COUNTIF($A$7:$A$30,L31)=1,IFERROR(IF(INDEX($P$7:$P$30,MATCH(L31,$A$7:$A$30,0),1)=0,0,WORKDAY.INTL(INDEX($P$7:$P$30,MATCH(L31,$A$7:$A$30,0),1),1,'設定'!$B$6,'設定'!$J$4:$J$53)),0),0))))</x:f>
        <x:v>46342</x:v>
      </x:c>
      <x:c r="P31" s="163" t="n">
        <x:f>IF(O31="","",WORKDAY.INTL(O31,N31-1,'設定'!$B$6,'設定'!$J$4:$J$53))</x:f>
        <x:v>46343</x:v>
      </x:c>
      <x:c r="Q31" s="169"/>
      <x:c r="R31" s="169"/>
      <x:c r="S31" s="143" t="n">
        <x:v>1</x:v>
      </x:c>
      <x:c r="T31" s="143" t="n">
        <x:v>0</x:v>
      </x:c>
      <x:c r="U31" s="175" t="n">
        <x:f>IFERROR(T31/S31,0)</x:f>
        <x:v>0</x:v>
      </x:c>
      <x:c r="V31" s="91" t="str">
        <x:f>IF(U31&gt;=1,IF(R31="","完了（実績日未確認）",IF(P31="","完了",IF(R31&gt;P31,"完了（遅延）","完了"))),IF(G31="04.保留","保留",IF(O31="","未計画",IF('設定'!$B$5&gt;P31,IF(G31="00.未確認","要確認（期限超過）","遅延"),IF('設定'!$B$5&gt;=O31,IF(G31="00.未確認","状況要確認",IF(Q31="","開始要確認","予定内")),"予定前")))))</x:f>
        <x:v>予定前</x:v>
      </x:c>
      <x:c r="W31" s="56" t="str">
        <x:v>31</x:v>
      </x:c>
      <x:c r="X31" s="56" t="str">
        <x:v>原資料展開</x:v>
      </x:c>
      <x:c r="Y31" s="56" t="str">
        <x:v>テーブル存在・不足列・補完方法の確認結果</x:v>
      </x:c>
      <x:c r="Z31" s="56" t="str"/>
      <x:c r="AA31" s="181" t="str">
        <x:f>IF(AND(IF(J31="",TRUE,COUNTIF($A$7:$A$30,J31)=1),IF(K31="",TRUE,COUNTIF($A$7:$A$30,K31)=1),IF(L31="",TRUE,COUNTIF($A$7:$A$30,L31)=1),COUNTIF($A$7:$A$107,A31)=1,AND(M31&gt;=1,MOD(M31,1)=0,N31&gt;=0,MOD(N31,1)=0,S31&gt;0,T31&gt;=0,T31&lt;=S31),OR(R31="",AND(Q31&lt;&gt;"",R31&gt;=Q31)),IF(OR(G31="05.完了",G31="06.完了（資料記載）"),U31=1,TRUE),IF(N31=0,U31=1,TRUE)),"OK","要確認")</x:f>
        <x:v>OK</x:v>
      </x:c>
    </x:row>
    <x:row r="32" ht="54" customHeight="1">
      <x:c r="A32" s="135" t="str">
        <x:v>00026</x:v>
      </x:c>
      <x:c r="B32" s="194" t="str">
        <x:v>03.事前検証</x:v>
      </x:c>
      <x:c r="C32" s="48" t="str">
        <x:v>RedshiftのFabric参照・接続確認</x:v>
      </x:c>
      <x:c r="D32" s="85" t="str">
        <x:v>データソース担当（要確定）</x:v>
      </x:c>
      <x:c r="E32" s="48" t="str">
        <x:v>Redshift／Fabric</x:v>
      </x:c>
      <x:c r="F32" s="143" t="str">
        <x:v>2.中</x:v>
      </x:c>
      <x:c r="G32" s="85" t="str">
        <x:v>00.未確認</x:v>
      </x:c>
      <x:c r="H32" s="149" t="str">
        <x:v>開発</x:v>
      </x:c>
      <x:c r="I32" s="48" t="str">
        <x:v>共通</x:v>
      </x:c>
      <x:c r="J32" s="157" t="str">
        <x:v>00024</x:v>
      </x:c>
      <x:c r="K32" s="157" t="str">
        <x:v>00008</x:v>
      </x:c>
      <x:c r="L32" s="157" t="str"/>
      <x:c r="M32" s="143" t="n">
        <x:v>1</x:v>
      </x:c>
      <x:c r="N32" s="143" t="n">
        <x:v>2</x:v>
      </x:c>
      <x:c r="O32" s="163" t="n">
        <x:f>IF(OR('設定'!$B$4="",N32=0),"",MAX(WORKDAY.INTL('設定'!$B$4-1,M32,'設定'!$B$6,'設定'!$J$4:$J$53),IF(J32="",0,IF(COUNTIF($A$7:$A$31,J32)=1,IFERROR(IF(INDEX($P$7:$P$31,MATCH(J32,$A$7:$A$31,0),1)=0,0,WORKDAY.INTL(INDEX($P$7:$P$31,MATCH(J32,$A$7:$A$31,0),1),1,'設定'!$B$6,'設定'!$J$4:$J$53)),0),0)),IF(K32="",0,IF(COUNTIF($A$7:$A$31,K32)=1,IFERROR(IF(INDEX($P$7:$P$31,MATCH(K32,$A$7:$A$31,0),1)=0,0,WORKDAY.INTL(INDEX($P$7:$P$31,MATCH(K32,$A$7:$A$31,0),1),1,'設定'!$B$6,'設定'!$J$4:$J$53)),0),0)),IF(L32="",0,IF(COUNTIF($A$7:$A$31,L32)=1,IFERROR(IF(INDEX($P$7:$P$31,MATCH(L32,$A$7:$A$31,0),1)=0,0,WORKDAY.INTL(INDEX($P$7:$P$31,MATCH(L32,$A$7:$A$31,0),1),1,'設定'!$B$6,'設定'!$J$4:$J$53)),0),0))))</x:f>
        <x:v>46342</x:v>
      </x:c>
      <x:c r="P32" s="163" t="n">
        <x:f>IF(O32="","",WORKDAY.INTL(O32,N32-1,'設定'!$B$6,'設定'!$J$4:$J$53))</x:f>
        <x:v>46343</x:v>
      </x:c>
      <x:c r="Q32" s="169"/>
      <x:c r="R32" s="169"/>
      <x:c r="S32" s="143" t="n">
        <x:v>1</x:v>
      </x:c>
      <x:c r="T32" s="143" t="n">
        <x:v>0</x:v>
      </x:c>
      <x:c r="U32" s="175" t="n">
        <x:f>IFERROR(T32/S32,0)</x:f>
        <x:v>0</x:v>
      </x:c>
      <x:c r="V32" s="91" t="str">
        <x:f>IF(U32&gt;=1,IF(R32="","完了（実績日未確認）",IF(P32="","完了",IF(R32&gt;P32,"完了（遅延）","完了"))),IF(G32="04.保留","保留",IF(O32="","未計画",IF('設定'!$B$5&gt;P32,IF(G32="00.未確認","要確認（期限超過）","遅延"),IF('設定'!$B$5&gt;=O32,IF(G32="00.未確認","状況要確認",IF(Q32="","開始要確認","予定内")),"予定前")))))</x:f>
        <x:v>予定前</x:v>
      </x:c>
      <x:c r="W32" s="48" t="str">
        <x:v>32</x:v>
      </x:c>
      <x:c r="X32" s="48" t="str">
        <x:v>原資料展開</x:v>
      </x:c>
      <x:c r="Y32" s="48" t="str">
        <x:v>参照可否・接続設定・対象テーブル一覧</x:v>
      </x:c>
      <x:c r="Z32" s="48" t="str"/>
      <x:c r="AA32" s="181" t="str">
        <x:f>IF(AND(IF(J32="",TRUE,COUNTIF($A$7:$A$31,J32)=1),IF(K32="",TRUE,COUNTIF($A$7:$A$31,K32)=1),IF(L32="",TRUE,COUNTIF($A$7:$A$31,L32)=1),COUNTIF($A$7:$A$107,A32)=1,AND(M32&gt;=1,MOD(M32,1)=0,N32&gt;=0,MOD(N32,1)=0,S32&gt;0,T32&gt;=0,T32&lt;=S32),OR(R32="",AND(Q32&lt;&gt;"",R32&gt;=Q32)),IF(OR(G32="05.完了",G32="06.完了（資料記載）"),U32=1,TRUE),IF(N32=0,U32=1,TRUE)),"OK","要確認")</x:f>
        <x:v>OK</x:v>
      </x:c>
    </x:row>
    <x:row r="33" ht="54" customHeight="1">
      <x:c r="A33" s="136" t="str">
        <x:v>00027</x:v>
      </x:c>
      <x:c r="B33" s="194" t="str">
        <x:v>03.事前検証</x:v>
      </x:c>
      <x:c r="C33" s="56" t="str">
        <x:v>SharePoint参照・Excel配置の確認</x:v>
      </x:c>
      <x:c r="D33" s="85" t="str">
        <x:v>データソース担当（要確定）</x:v>
      </x:c>
      <x:c r="E33" s="56" t="str">
        <x:v>SharePoint／Excel</x:v>
      </x:c>
      <x:c r="F33" s="143" t="str">
        <x:v>2.中</x:v>
      </x:c>
      <x:c r="G33" s="85" t="str">
        <x:v>00.未確認</x:v>
      </x:c>
      <x:c r="H33" s="150" t="str">
        <x:v>開発</x:v>
      </x:c>
      <x:c r="I33" s="56" t="str">
        <x:v>共通</x:v>
      </x:c>
      <x:c r="J33" s="157" t="str">
        <x:v>00024</x:v>
      </x:c>
      <x:c r="K33" s="157" t="str">
        <x:v>00016</x:v>
      </x:c>
      <x:c r="L33" s="157" t="str"/>
      <x:c r="M33" s="143" t="n">
        <x:v>1</x:v>
      </x:c>
      <x:c r="N33" s="143" t="n">
        <x:v>2</x:v>
      </x:c>
      <x:c r="O33" s="163" t="n">
        <x:f>IF(OR('設定'!$B$4="",N33=0),"",MAX(WORKDAY.INTL('設定'!$B$4-1,M33,'設定'!$B$6,'設定'!$J$4:$J$53),IF(J33="",0,IF(COUNTIF($A$7:$A$32,J33)=1,IFERROR(IF(INDEX($P$7:$P$32,MATCH(J33,$A$7:$A$32,0),1)=0,0,WORKDAY.INTL(INDEX($P$7:$P$32,MATCH(J33,$A$7:$A$32,0),1),1,'設定'!$B$6,'設定'!$J$4:$J$53)),0),0)),IF(K33="",0,IF(COUNTIF($A$7:$A$32,K33)=1,IFERROR(IF(INDEX($P$7:$P$32,MATCH(K33,$A$7:$A$32,0),1)=0,0,WORKDAY.INTL(INDEX($P$7:$P$32,MATCH(K33,$A$7:$A$32,0),1),1,'設定'!$B$6,'設定'!$J$4:$J$53)),0),0)),IF(L33="",0,IF(COUNTIF($A$7:$A$32,L33)=1,IFERROR(IF(INDEX($P$7:$P$32,MATCH(L33,$A$7:$A$32,0),1)=0,0,WORKDAY.INTL(INDEX($P$7:$P$32,MATCH(L33,$A$7:$A$32,0),1),1,'設定'!$B$6,'設定'!$J$4:$J$53)),0),0))))</x:f>
        <x:v>46342</x:v>
      </x:c>
      <x:c r="P33" s="163" t="n">
        <x:f>IF(O33="","",WORKDAY.INTL(O33,N33-1,'設定'!$B$6,'設定'!$J$4:$J$53))</x:f>
        <x:v>46343</x:v>
      </x:c>
      <x:c r="Q33" s="169"/>
      <x:c r="R33" s="169"/>
      <x:c r="S33" s="143" t="n">
        <x:v>1</x:v>
      </x:c>
      <x:c r="T33" s="143" t="n">
        <x:v>0</x:v>
      </x:c>
      <x:c r="U33" s="175" t="n">
        <x:f>IFERROR(T33/S33,0)</x:f>
        <x:v>0</x:v>
      </x:c>
      <x:c r="V33" s="91" t="str">
        <x:f>IF(U33&gt;=1,IF(R33="","完了（実績日未確認）",IF(P33="","完了",IF(R33&gt;P33,"完了（遅延）","完了"))),IF(G33="04.保留","保留",IF(O33="","未計画",IF('設定'!$B$5&gt;P33,IF(G33="00.未確認","要確認（期限超過）","遅延"),IF('設定'!$B$5&gt;=O33,IF(G33="00.未確認","状況要確認",IF(Q33="","開始要確認","予定内")),"予定前")))))</x:f>
        <x:v>予定前</x:v>
      </x:c>
      <x:c r="W33" s="56" t="str">
        <x:v>33</x:v>
      </x:c>
      <x:c r="X33" s="56" t="str">
        <x:v>原資料展開</x:v>
      </x:c>
      <x:c r="Y33" s="56" t="str">
        <x:v>ファイル配置・参照権限・列定義の確認結果</x:v>
      </x:c>
      <x:c r="Z33" s="56" t="str">
        <x:v>必要に応じてExcelを作成・移動する。</x:v>
      </x:c>
      <x:c r="AA33" s="181" t="str">
        <x:f>IF(AND(IF(J33="",TRUE,COUNTIF($A$7:$A$32,J33)=1),IF(K33="",TRUE,COUNTIF($A$7:$A$32,K33)=1),IF(L33="",TRUE,COUNTIF($A$7:$A$32,L33)=1),COUNTIF($A$7:$A$107,A33)=1,AND(M33&gt;=1,MOD(M33,1)=0,N33&gt;=0,MOD(N33,1)=0,S33&gt;0,T33&gt;=0,T33&lt;=S33),OR(R33="",AND(Q33&lt;&gt;"",R33&gt;=Q33)),IF(OR(G33="05.完了",G33="06.完了（資料記載）"),U33=1,TRUE),IF(N33=0,U33=1,TRUE)),"OK","要確認")</x:f>
        <x:v>OK</x:v>
      </x:c>
    </x:row>
    <x:row r="34" ht="54" customHeight="1">
      <x:c r="A34" s="135" t="str">
        <x:v>00028</x:v>
      </x:c>
      <x:c r="B34" s="194" t="str">
        <x:v>03.事前検証</x:v>
      </x:c>
      <x:c r="C34" s="196" t="str">
        <x:v>Fabric→Dataverseテスト連携の事前検証</x:v>
      </x:c>
      <x:c r="D34" s="85" t="str">
        <x:v>連携担当（要確定）</x:v>
      </x:c>
      <x:c r="E34" s="48" t="str">
        <x:v>Fabric／Dataverse</x:v>
      </x:c>
      <x:c r="F34" s="143" t="str">
        <x:v>1.高</x:v>
      </x:c>
      <x:c r="G34" s="85" t="str">
        <x:v>00.未確認</x:v>
      </x:c>
      <x:c r="H34" s="149" t="str">
        <x:v>開発</x:v>
      </x:c>
      <x:c r="I34" s="48" t="str">
        <x:v>共通</x:v>
      </x:c>
      <x:c r="J34" s="157" t="str">
        <x:v>00024</x:v>
      </x:c>
      <x:c r="K34" s="157" t="str">
        <x:v>00014</x:v>
      </x:c>
      <x:c r="L34" s="157" t="str">
        <x:v>00019</x:v>
      </x:c>
      <x:c r="M34" s="143" t="n">
        <x:v>1</x:v>
      </x:c>
      <x:c r="N34" s="143" t="n">
        <x:v>3</x:v>
      </x:c>
      <x:c r="O34" s="163" t="n">
        <x:f>IF(OR('設定'!$B$4="",N34=0),"",MAX(WORKDAY.INTL('設定'!$B$4-1,M34,'設定'!$B$6,'設定'!$J$4:$J$53),IF(J34="",0,IF(COUNTIF($A$7:$A$33,J34)=1,IFERROR(IF(INDEX($P$7:$P$33,MATCH(J34,$A$7:$A$33,0),1)=0,0,WORKDAY.INTL(INDEX($P$7:$P$33,MATCH(J34,$A$7:$A$33,0),1),1,'設定'!$B$6,'設定'!$J$4:$J$53)),0),0)),IF(K34="",0,IF(COUNTIF($A$7:$A$33,K34)=1,IFERROR(IF(INDEX($P$7:$P$33,MATCH(K34,$A$7:$A$33,0),1)=0,0,WORKDAY.INTL(INDEX($P$7:$P$33,MATCH(K34,$A$7:$A$33,0),1),1,'設定'!$B$6,'設定'!$J$4:$J$53)),0),0)),IF(L34="",0,IF(COUNTIF($A$7:$A$33,L34)=1,IFERROR(IF(INDEX($P$7:$P$33,MATCH(L34,$A$7:$A$33,0),1)=0,0,WORKDAY.INTL(INDEX($P$7:$P$33,MATCH(L34,$A$7:$A$33,0),1),1,'設定'!$B$6,'設定'!$J$4:$J$53)),0),0))))</x:f>
        <x:v>46343</x:v>
      </x:c>
      <x:c r="P34" s="163" t="n">
        <x:f>IF(O34="","",WORKDAY.INTL(O34,N34-1,'設定'!$B$6,'設定'!$J$4:$J$53))</x:f>
        <x:v>46345</x:v>
      </x:c>
      <x:c r="Q34" s="169"/>
      <x:c r="R34" s="169"/>
      <x:c r="S34" s="143" t="n">
        <x:v>1</x:v>
      </x:c>
      <x:c r="T34" s="143" t="n">
        <x:v>0</x:v>
      </x:c>
      <x:c r="U34" s="175" t="n">
        <x:f>IFERROR(T34/S34,0)</x:f>
        <x:v>0</x:v>
      </x:c>
      <x:c r="V34" s="91" t="str">
        <x:f>IF(U34&gt;=1,IF(R34="","完了（実績日未確認）",IF(P34="","完了",IF(R34&gt;P34,"完了（遅延）","完了"))),IF(G34="04.保留","保留",IF(O34="","未計画",IF('設定'!$B$5&gt;P34,IF(G34="00.未確認","要確認（期限超過）","遅延"),IF('設定'!$B$5&gt;=O34,IF(G34="00.未確認","状況要確認",IF(Q34="","開始要確認","予定内")),"予定前")))))</x:f>
        <x:v>予定前</x:v>
      </x:c>
      <x:c r="W34" s="48" t="str">
        <x:v>24</x:v>
      </x:c>
      <x:c r="X34" s="48" t="str">
        <x:v>原資料展開</x:v>
      </x:c>
      <x:c r="Y34" s="48" t="str">
        <x:v>テスト環境間の疎通・コピー・更新結果の検証記録</x:v>
      </x:c>
      <x:c r="Z34" s="48" t="str">
        <x:v>元資料で事前確認を強調。接続先の許可・権限確認後に実施。</x:v>
      </x:c>
      <x:c r="AA34" s="181" t="str">
        <x:f>IF(AND(IF(J34="",TRUE,COUNTIF($A$7:$A$33,J34)=1),IF(K34="",TRUE,COUNTIF($A$7:$A$33,K34)=1),IF(L34="",TRUE,COUNTIF($A$7:$A$33,L34)=1),COUNTIF($A$7:$A$107,A34)=1,AND(M34&gt;=1,MOD(M34,1)=0,N34&gt;=0,MOD(N34,1)=0,S34&gt;0,T34&gt;=0,T34&lt;=S34),OR(R34="",AND(Q34&lt;&gt;"",R34&gt;=Q34)),IF(OR(G34="05.完了",G34="06.完了（資料記載）"),U34=1,TRUE),IF(N34=0,U34=1,TRUE)),"OK","要確認")</x:f>
        <x:v>OK</x:v>
      </x:c>
    </x:row>
    <x:row r="35" ht="54" customHeight="1">
      <x:c r="A35" s="136" t="str">
        <x:v>00029</x:v>
      </x:c>
      <x:c r="B35" s="194" t="str">
        <x:v>03.事前検証</x:v>
      </x:c>
      <x:c r="C35" s="196" t="str">
        <x:v>SQL共通Functionの作成・呼出し事前検証</x:v>
      </x:c>
      <x:c r="D35" s="85" t="str">
        <x:v>李（元資料の確認先）</x:v>
      </x:c>
      <x:c r="E35" s="56" t="str">
        <x:v>GoldWarehouse／SQL endpoint</x:v>
      </x:c>
      <x:c r="F35" s="143" t="str">
        <x:v>1.高</x:v>
      </x:c>
      <x:c r="G35" s="85" t="str">
        <x:v>00.未確認</x:v>
      </x:c>
      <x:c r="H35" s="150" t="str">
        <x:v>開発</x:v>
      </x:c>
      <x:c r="I35" s="56" t="str">
        <x:v>共通</x:v>
      </x:c>
      <x:c r="J35" s="157" t="str">
        <x:v>00024</x:v>
      </x:c>
      <x:c r="K35" s="157" t="str"/>
      <x:c r="L35" s="157" t="str"/>
      <x:c r="M35" s="143" t="n">
        <x:v>1</x:v>
      </x:c>
      <x:c r="N35" s="143" t="n">
        <x:v>3</x:v>
      </x:c>
      <x:c r="O35" s="163" t="n">
        <x:f>IF(OR('設定'!$B$4="",N35=0),"",MAX(WORKDAY.INTL('設定'!$B$4-1,M35,'設定'!$B$6,'設定'!$J$4:$J$53),IF(J35="",0,IF(COUNTIF($A$7:$A$34,J35)=1,IFERROR(IF(INDEX($P$7:$P$34,MATCH(J35,$A$7:$A$34,0),1)=0,0,WORKDAY.INTL(INDEX($P$7:$P$34,MATCH(J35,$A$7:$A$34,0),1),1,'設定'!$B$6,'設定'!$J$4:$J$53)),0),0)),IF(K35="",0,IF(COUNTIF($A$7:$A$34,K35)=1,IFERROR(IF(INDEX($P$7:$P$34,MATCH(K35,$A$7:$A$34,0),1)=0,0,WORKDAY.INTL(INDEX($P$7:$P$34,MATCH(K35,$A$7:$A$34,0),1),1,'設定'!$B$6,'設定'!$J$4:$J$53)),0),0)),IF(L35="",0,IF(COUNTIF($A$7:$A$34,L35)=1,IFERROR(IF(INDEX($P$7:$P$34,MATCH(L35,$A$7:$A$34,0),1)=0,0,WORKDAY.INTL(INDEX($P$7:$P$34,MATCH(L35,$A$7:$A$34,0),1),1,'設定'!$B$6,'設定'!$J$4:$J$53)),0),0))))</x:f>
        <x:v>46342</x:v>
      </x:c>
      <x:c r="P35" s="163" t="n">
        <x:f>IF(O35="","",WORKDAY.INTL(O35,N35-1,'設定'!$B$6,'設定'!$J$4:$J$53))</x:f>
        <x:v>46344</x:v>
      </x:c>
      <x:c r="Q35" s="169"/>
      <x:c r="R35" s="169"/>
      <x:c r="S35" s="143" t="n">
        <x:v>1</x:v>
      </x:c>
      <x:c r="T35" s="143" t="n">
        <x:v>0</x:v>
      </x:c>
      <x:c r="U35" s="175" t="n">
        <x:f>IFERROR(T35/S35,0)</x:f>
        <x:v>0</x:v>
      </x:c>
      <x:c r="V35" s="91" t="str">
        <x:f>IF(U35&gt;=1,IF(R35="","完了（実績日未確認）",IF(P35="","完了",IF(R35&gt;P35,"完了（遅延）","完了"))),IF(G35="04.保留","保留",IF(O35="","未計画",IF('設定'!$B$5&gt;P35,IF(G35="00.未確認","要確認（期限超過）","遅延"),IF('設定'!$B$5&gt;=O35,IF(G35="00.未確認","状況要確認",IF(Q35="","開始要確認","予定内")),"予定前")))))</x:f>
        <x:v>予定前</x:v>
      </x:c>
      <x:c r="W35" s="56" t="str">
        <x:v>43</x:v>
      </x:c>
      <x:c r="X35" s="56" t="str">
        <x:v>原資料展開</x:v>
      </x:c>
      <x:c r="Y35" s="56" t="str">
        <x:v>作成先・権限・SQL実行・文字列処理の検証結果</x:v>
      </x:c>
      <x:c r="Z35" s="56" t="str">
        <x:v>Warehouse／SQL分析エンドポイントの採用先は検証で確定。</x:v>
      </x:c>
      <x:c r="AA35" s="181" t="str">
        <x:f>IF(AND(IF(J35="",TRUE,COUNTIF($A$7:$A$34,J35)=1),IF(K35="",TRUE,COUNTIF($A$7:$A$34,K35)=1),IF(L35="",TRUE,COUNTIF($A$7:$A$34,L35)=1),COUNTIF($A$7:$A$107,A35)=1,AND(M35&gt;=1,MOD(M35,1)=0,N35&gt;=0,MOD(N35,1)=0,S35&gt;0,T35&gt;=0,T35&lt;=S35),OR(R35="",AND(Q35&lt;&gt;"",R35&gt;=Q35)),IF(OR(G35="05.完了",G35="06.完了（資料記載）"),U35=1,TRUE),IF(N35=0,U35=1,TRUE)),"OK","要確認")</x:f>
        <x:v>OK</x:v>
      </x:c>
    </x:row>
    <x:row r="36" ht="54" customHeight="1">
      <x:c r="A36" s="135" t="str">
        <x:v>00030</x:v>
      </x:c>
      <x:c r="B36" s="194" t="str">
        <x:v>03.事前検証</x:v>
      </x:c>
      <x:c r="C36" s="196" t="str">
        <x:v>別Notebook共通関数の参照呼出し事前検証</x:v>
      </x:c>
      <x:c r="D36" s="85" t="str">
        <x:v>李（元資料の確認先）</x:v>
      </x:c>
      <x:c r="E36" s="48" t="str">
        <x:v>Fabric Notebook</x:v>
      </x:c>
      <x:c r="F36" s="143" t="str">
        <x:v>1.高</x:v>
      </x:c>
      <x:c r="G36" s="85" t="str">
        <x:v>00.未確認</x:v>
      </x:c>
      <x:c r="H36" s="149" t="str">
        <x:v>開発</x:v>
      </x:c>
      <x:c r="I36" s="48" t="str">
        <x:v>共通</x:v>
      </x:c>
      <x:c r="J36" s="157" t="str">
        <x:v>00024</x:v>
      </x:c>
      <x:c r="K36" s="157" t="str"/>
      <x:c r="L36" s="157" t="str"/>
      <x:c r="M36" s="143" t="n">
        <x:v>1</x:v>
      </x:c>
      <x:c r="N36" s="143" t="n">
        <x:v>3</x:v>
      </x:c>
      <x:c r="O36" s="163" t="n">
        <x:f>IF(OR('設定'!$B$4="",N36=0),"",MAX(WORKDAY.INTL('設定'!$B$4-1,M36,'設定'!$B$6,'設定'!$J$4:$J$53),IF(J36="",0,IF(COUNTIF($A$7:$A$35,J36)=1,IFERROR(IF(INDEX($P$7:$P$35,MATCH(J36,$A$7:$A$35,0),1)=0,0,WORKDAY.INTL(INDEX($P$7:$P$35,MATCH(J36,$A$7:$A$35,0),1),1,'設定'!$B$6,'設定'!$J$4:$J$53)),0),0)),IF(K36="",0,IF(COUNTIF($A$7:$A$35,K36)=1,IFERROR(IF(INDEX($P$7:$P$35,MATCH(K36,$A$7:$A$35,0),1)=0,0,WORKDAY.INTL(INDEX($P$7:$P$35,MATCH(K36,$A$7:$A$35,0),1),1,'設定'!$B$6,'設定'!$J$4:$J$53)),0),0)),IF(L36="",0,IF(COUNTIF($A$7:$A$35,L36)=1,IFERROR(IF(INDEX($P$7:$P$35,MATCH(L36,$A$7:$A$35,0),1)=0,0,WORKDAY.INTL(INDEX($P$7:$P$35,MATCH(L36,$A$7:$A$35,0),1),1,'設定'!$B$6,'設定'!$J$4:$J$53)),0),0))))</x:f>
        <x:v>46342</x:v>
      </x:c>
      <x:c r="P36" s="163" t="n">
        <x:f>IF(O36="","",WORKDAY.INTL(O36,N36-1,'設定'!$B$6,'設定'!$J$4:$J$53))</x:f>
        <x:v>46344</x:v>
      </x:c>
      <x:c r="Q36" s="169"/>
      <x:c r="R36" s="169"/>
      <x:c r="S36" s="143" t="n">
        <x:v>1</x:v>
      </x:c>
      <x:c r="T36" s="143" t="n">
        <x:v>0</x:v>
      </x:c>
      <x:c r="U36" s="175" t="n">
        <x:f>IFERROR(T36/S36,0)</x:f>
        <x:v>0</x:v>
      </x:c>
      <x:c r="V36" s="91" t="str">
        <x:f>IF(U36&gt;=1,IF(R36="","完了（実績日未確認）",IF(P36="","完了",IF(R36&gt;P36,"完了（遅延）","完了"))),IF(G36="04.保留","保留",IF(O36="","未計画",IF('設定'!$B$5&gt;P36,IF(G36="00.未確認","要確認（期限超過）","遅延"),IF('設定'!$B$5&gt;=O36,IF(G36="00.未確認","状況要確認",IF(Q36="","開始要確認","予定内")),"予定前")))))</x:f>
        <x:v>予定前</x:v>
      </x:c>
      <x:c r="W36" s="48" t="str">
        <x:v>47</x:v>
      </x:c>
      <x:c r="X36" s="48" t="str">
        <x:v>原資料展開</x:v>
      </x:c>
      <x:c r="Y36" s="48" t="str">
        <x:v>共通Notebookの読込み・関数呼出し・実行順・引数の検証結果</x:v>
      </x:c>
      <x:c r="Z36" s="48" t="str">
        <x:v>会話で指定された方式A（%run）を検証。SQL Functionとは別タスク。</x:v>
      </x:c>
      <x:c r="AA36" s="181" t="str">
        <x:f>IF(AND(IF(J36="",TRUE,COUNTIF($A$7:$A$35,J36)=1),IF(K36="",TRUE,COUNTIF($A$7:$A$35,K36)=1),IF(L36="",TRUE,COUNTIF($A$7:$A$35,L36)=1),COUNTIF($A$7:$A$107,A36)=1,AND(M36&gt;=1,MOD(M36,1)=0,N36&gt;=0,MOD(N36,1)=0,S36&gt;0,T36&gt;=0,T36&lt;=S36),OR(R36="",AND(Q36&lt;&gt;"",R36&gt;=Q36)),IF(OR(G36="05.完了",G36="06.完了（資料記載）"),U36=1,TRUE),IF(N36=0,U36=1,TRUE)),"OK","要確認")</x:f>
        <x:v>OK</x:v>
      </x:c>
    </x:row>
    <x:row r="37" ht="54" customHeight="1">
      <x:c r="A37" s="136" t="str">
        <x:v>00031</x:v>
      </x:c>
      <x:c r="B37" s="192" t="str">
        <x:v>02.要件・設計</x:v>
      </x:c>
      <x:c r="C37" s="56" t="str">
        <x:v>Function・View・差分・共通Notebook・出力共通設計</x:v>
      </x:c>
      <x:c r="D37" s="85" t="str">
        <x:v>設計担当（要確定）</x:v>
      </x:c>
      <x:c r="E37" s="56" t="str">
        <x:v>Fabric</x:v>
      </x:c>
      <x:c r="F37" s="143" t="str">
        <x:v>1.高</x:v>
      </x:c>
      <x:c r="G37" s="85" t="str">
        <x:v>00.未確認</x:v>
      </x:c>
      <x:c r="H37" s="150" t="str">
        <x:v>設計</x:v>
      </x:c>
      <x:c r="I37" s="56" t="str">
        <x:v>共通</x:v>
      </x:c>
      <x:c r="J37" s="157" t="str">
        <x:v>00028</x:v>
      </x:c>
      <x:c r="K37" s="157" t="str">
        <x:v>00029</x:v>
      </x:c>
      <x:c r="L37" s="157" t="str">
        <x:v>00030</x:v>
      </x:c>
      <x:c r="M37" s="143" t="n">
        <x:v>1</x:v>
      </x:c>
      <x:c r="N37" s="143" t="n">
        <x:v>3</x:v>
      </x:c>
      <x:c r="O37" s="163" t="n">
        <x:f>IF(OR('設定'!$B$4="",N37=0),"",MAX(WORKDAY.INTL('設定'!$B$4-1,M37,'設定'!$B$6,'設定'!$J$4:$J$53),IF(J37="",0,IF(COUNTIF($A$7:$A$36,J37)=1,IFERROR(IF(INDEX($P$7:$P$36,MATCH(J37,$A$7:$A$36,0),1)=0,0,WORKDAY.INTL(INDEX($P$7:$P$36,MATCH(J37,$A$7:$A$36,0),1),1,'設定'!$B$6,'設定'!$J$4:$J$53)),0),0)),IF(K37="",0,IF(COUNTIF($A$7:$A$36,K37)=1,IFERROR(IF(INDEX($P$7:$P$36,MATCH(K37,$A$7:$A$36,0),1)=0,0,WORKDAY.INTL(INDEX($P$7:$P$36,MATCH(K37,$A$7:$A$36,0),1),1,'設定'!$B$6,'設定'!$J$4:$J$53)),0),0)),IF(L37="",0,IF(COUNTIF($A$7:$A$36,L37)=1,IFERROR(IF(INDEX($P$7:$P$36,MATCH(L37,$A$7:$A$36,0),1)=0,0,WORKDAY.INTL(INDEX($P$7:$P$36,MATCH(L37,$A$7:$A$36,0),1),1,'設定'!$B$6,'設定'!$J$4:$J$53)),0),0))))</x:f>
        <x:v>46346</x:v>
      </x:c>
      <x:c r="P37" s="163" t="n">
        <x:f>IF(O37="","",WORKDAY.INTL(O37,N37-1,'設定'!$B$6,'設定'!$J$4:$J$53))</x:f>
        <x:v>46350</x:v>
      </x:c>
      <x:c r="Q37" s="169"/>
      <x:c r="R37" s="169"/>
      <x:c r="S37" s="143" t="n">
        <x:v>1</x:v>
      </x:c>
      <x:c r="T37" s="143" t="n">
        <x:v>0</x:v>
      </x:c>
      <x:c r="U37" s="175" t="n">
        <x:f>IFERROR(T37/S37,0)</x:f>
        <x:v>0</x:v>
      </x:c>
      <x:c r="V37" s="91" t="str">
        <x:f>IF(U37&gt;=1,IF(R37="","完了（実績日未確認）",IF(P37="","完了",IF(R37&gt;P37,"完了（遅延）","完了"))),IF(G37="04.保留","保留",IF(O37="","未計画",IF('設定'!$B$5&gt;P37,IF(G37="00.未確認","要確認（期限超過）","遅延"),IF('設定'!$B$5&gt;=O37,IF(G37="00.未確認","状況要確認",IF(Q37="","開始要確認","予定内")),"予定前")))))</x:f>
        <x:v>予定前</x:v>
      </x:c>
      <x:c r="W37" s="56" t="str">
        <x:v>43／44／46／47／48／49</x:v>
      </x:c>
      <x:c r="X37" s="56" t="str">
        <x:v>補足（原作業の設計）</x:v>
      </x:c>
      <x:c r="Y37" s="56" t="str">
        <x:v>共通処理仕様・入出力・Watermark・例外・再実行・適用先の設計</x:v>
      </x:c>
      <x:c r="Z37" s="56" t="str"/>
      <x:c r="AA37" s="181" t="str">
        <x:f>IF(AND(IF(J37="",TRUE,COUNTIF($A$7:$A$36,J37)=1),IF(K37="",TRUE,COUNTIF($A$7:$A$36,K37)=1),IF(L37="",TRUE,COUNTIF($A$7:$A$36,L37)=1),COUNTIF($A$7:$A$107,A37)=1,AND(M37&gt;=1,MOD(M37,1)=0,N37&gt;=0,MOD(N37,1)=0,S37&gt;0,T37&gt;=0,T37&lt;=S37),OR(R37="",AND(Q37&lt;&gt;"",R37&gt;=Q37)),IF(OR(G37="05.完了",G37="06.完了（資料記載）"),U37=1,TRUE),IF(N37=0,U37=1,TRUE)),"OK","要確認")</x:f>
        <x:v>OK</x:v>
      </x:c>
    </x:row>
    <x:row r="38" ht="54" customHeight="1">
      <x:c r="A38" s="135" t="str">
        <x:v>00032</x:v>
      </x:c>
      <x:c r="B38" s="192" t="str">
        <x:v>02.要件・設計</x:v>
      </x:c>
      <x:c r="C38" s="48" t="str">
        <x:v>Product：基本設計・詳細設計</x:v>
      </x:c>
      <x:c r="D38" s="85" t="str">
        <x:v>設計担当（要確定）</x:v>
      </x:c>
      <x:c r="E38" s="48" t="str">
        <x:v>Fabric</x:v>
      </x:c>
      <x:c r="F38" s="143" t="str">
        <x:v>1.高</x:v>
      </x:c>
      <x:c r="G38" s="85" t="str">
        <x:v>00.未確認</x:v>
      </x:c>
      <x:c r="H38" s="149" t="str">
        <x:v>設計</x:v>
      </x:c>
      <x:c r="I38" s="48" t="str">
        <x:v>Product</x:v>
      </x:c>
      <x:c r="J38" s="157" t="str">
        <x:v>00019</x:v>
      </x:c>
      <x:c r="K38" s="157" t="str">
        <x:v>00025</x:v>
      </x:c>
      <x:c r="L38" s="157" t="str">
        <x:v>00031</x:v>
      </x:c>
      <x:c r="M38" s="143" t="n">
        <x:v>1</x:v>
      </x:c>
      <x:c r="N38" s="143" t="n">
        <x:v>3</x:v>
      </x:c>
      <x:c r="O38" s="163" t="n">
        <x:f>IF(OR('設定'!$B$4="",N38=0),"",MAX(WORKDAY.INTL('設定'!$B$4-1,M38,'設定'!$B$6,'設定'!$J$4:$J$53),IF(J38="",0,IF(COUNTIF($A$7:$A$37,J38)=1,IFERROR(IF(INDEX($P$7:$P$37,MATCH(J38,$A$7:$A$37,0),1)=0,0,WORKDAY.INTL(INDEX($P$7:$P$37,MATCH(J38,$A$7:$A$37,0),1),1,'設定'!$B$6,'設定'!$J$4:$J$53)),0),0)),IF(K38="",0,IF(COUNTIF($A$7:$A$37,K38)=1,IFERROR(IF(INDEX($P$7:$P$37,MATCH(K38,$A$7:$A$37,0),1)=0,0,WORKDAY.INTL(INDEX($P$7:$P$37,MATCH(K38,$A$7:$A$37,0),1),1,'設定'!$B$6,'設定'!$J$4:$J$53)),0),0)),IF(L38="",0,IF(COUNTIF($A$7:$A$37,L38)=1,IFERROR(IF(INDEX($P$7:$P$37,MATCH(L38,$A$7:$A$37,0),1)=0,0,WORKDAY.INTL(INDEX($P$7:$P$37,MATCH(L38,$A$7:$A$37,0),1),1,'設定'!$B$6,'設定'!$J$4:$J$53)),0),0))))</x:f>
        <x:v>46351</x:v>
      </x:c>
      <x:c r="P38" s="163" t="n">
        <x:f>IF(O38="","",WORKDAY.INTL(O38,N38-1,'設定'!$B$6,'設定'!$J$4:$J$53))</x:f>
        <x:v>46353</x:v>
      </x:c>
      <x:c r="Q38" s="169"/>
      <x:c r="R38" s="169"/>
      <x:c r="S38" s="143" t="n">
        <x:v>1</x:v>
      </x:c>
      <x:c r="T38" s="143" t="n">
        <x:v>0</x:v>
      </x:c>
      <x:c r="U38" s="175" t="n">
        <x:f>IFERROR(T38/S38,0)</x:f>
        <x:v>0</x:v>
      </x:c>
      <x:c r="V38" s="91" t="str">
        <x:f>IF(U38&gt;=1,IF(R38="","完了（実績日未確認）",IF(P38="","完了",IF(R38&gt;P38,"完了（遅延）","完了"))),IF(G38="04.保留","保留",IF(O38="","未計画",IF('設定'!$B$5&gt;P38,IF(G38="00.未確認","要確認（期限超過）","遅延"),IF('設定'!$B$5&gt;=O38,IF(G38="00.未確認","状況要確認",IF(Q38="","開始要確認","予定内")),"予定前")))))</x:f>
        <x:v>予定前</x:v>
      </x:c>
      <x:c r="W38" s="48" t="str">
        <x:v>25</x:v>
      </x:c>
      <x:c r="X38" s="48" t="str">
        <x:v>原資料展開</x:v>
      </x:c>
      <x:c r="Y38" s="48" t="str">
        <x:v>マッピング・変換・結合・更新・異常時処理・テスト観点の設計</x:v>
      </x:c>
      <x:c r="Z38" s="48" t="str">
        <x:v>依存関係は計画上の仮置き。実際の参照関係で見直す。</x:v>
      </x:c>
      <x:c r="AA38" s="181" t="str">
        <x:f>IF(AND(IF(J38="",TRUE,COUNTIF($A$7:$A$37,J38)=1),IF(K38="",TRUE,COUNTIF($A$7:$A$37,K38)=1),IF(L38="",TRUE,COUNTIF($A$7:$A$37,L38)=1),COUNTIF($A$7:$A$107,A38)=1,AND(M38&gt;=1,MOD(M38,1)=0,N38&gt;=0,MOD(N38,1)=0,S38&gt;0,T38&gt;=0,T38&lt;=S38),OR(R38="",AND(Q38&lt;&gt;"",R38&gt;=Q38)),IF(OR(G38="05.完了",G38="06.完了（資料記載）"),U38=1,TRUE),IF(N38=0,U38=1,TRUE)),"OK","要確認")</x:f>
        <x:v>OK</x:v>
      </x:c>
    </x:row>
    <x:row r="39" ht="54" customHeight="1">
      <x:c r="A39" s="136" t="str">
        <x:v>00033</x:v>
      </x:c>
      <x:c r="B39" s="192" t="str">
        <x:v>02.要件・設計</x:v>
      </x:c>
      <x:c r="C39" s="56" t="str">
        <x:v>Contact：基本設計・詳細設計</x:v>
      </x:c>
      <x:c r="D39" s="85" t="str">
        <x:v>設計担当（要確定）</x:v>
      </x:c>
      <x:c r="E39" s="56" t="str">
        <x:v>Fabric</x:v>
      </x:c>
      <x:c r="F39" s="143" t="str">
        <x:v>1.高</x:v>
      </x:c>
      <x:c r="G39" s="85" t="str">
        <x:v>00.未確認</x:v>
      </x:c>
      <x:c r="H39" s="150" t="str">
        <x:v>設計</x:v>
      </x:c>
      <x:c r="I39" s="56" t="str">
        <x:v>Contact</x:v>
      </x:c>
      <x:c r="J39" s="157" t="str">
        <x:v>00020</x:v>
      </x:c>
      <x:c r="K39" s="157" t="str">
        <x:v>00027</x:v>
      </x:c>
      <x:c r="L39" s="157" t="str">
        <x:v>00031</x:v>
      </x:c>
      <x:c r="M39" s="143" t="n">
        <x:v>1</x:v>
      </x:c>
      <x:c r="N39" s="143" t="n">
        <x:v>3</x:v>
      </x:c>
      <x:c r="O39" s="163" t="n">
        <x:f>IF(OR('設定'!$B$4="",N39=0),"",MAX(WORKDAY.INTL('設定'!$B$4-1,M39,'設定'!$B$6,'設定'!$J$4:$J$53),IF(J39="",0,IF(COUNTIF($A$7:$A$38,J39)=1,IFERROR(IF(INDEX($P$7:$P$38,MATCH(J39,$A$7:$A$38,0),1)=0,0,WORKDAY.INTL(INDEX($P$7:$P$38,MATCH(J39,$A$7:$A$38,0),1),1,'設定'!$B$6,'設定'!$J$4:$J$53)),0),0)),IF(K39="",0,IF(COUNTIF($A$7:$A$38,K39)=1,IFERROR(IF(INDEX($P$7:$P$38,MATCH(K39,$A$7:$A$38,0),1)=0,0,WORKDAY.INTL(INDEX($P$7:$P$38,MATCH(K39,$A$7:$A$38,0),1),1,'設定'!$B$6,'設定'!$J$4:$J$53)),0),0)),IF(L39="",0,IF(COUNTIF($A$7:$A$38,L39)=1,IFERROR(IF(INDEX($P$7:$P$38,MATCH(L39,$A$7:$A$38,0),1)=0,0,WORKDAY.INTL(INDEX($P$7:$P$38,MATCH(L39,$A$7:$A$38,0),1),1,'設定'!$B$6,'設定'!$J$4:$J$53)),0),0))))</x:f>
        <x:v>46351</x:v>
      </x:c>
      <x:c r="P39" s="163" t="n">
        <x:f>IF(O39="","",WORKDAY.INTL(O39,N39-1,'設定'!$B$6,'設定'!$J$4:$J$53))</x:f>
        <x:v>46353</x:v>
      </x:c>
      <x:c r="Q39" s="169"/>
      <x:c r="R39" s="169"/>
      <x:c r="S39" s="143" t="n">
        <x:v>1</x:v>
      </x:c>
      <x:c r="T39" s="143" t="n">
        <x:v>0</x:v>
      </x:c>
      <x:c r="U39" s="175" t="n">
        <x:f>IFERROR(T39/S39,0)</x:f>
        <x:v>0</x:v>
      </x:c>
      <x:c r="V39" s="91" t="str">
        <x:f>IF(U39&gt;=1,IF(R39="","完了（実績日未確認）",IF(P39="","完了",IF(R39&gt;P39,"完了（遅延）","完了"))),IF(G39="04.保留","保留",IF(O39="","未計画",IF('設定'!$B$5&gt;P39,IF(G39="00.未確認","要確認（期限超過）","遅延"),IF('設定'!$B$5&gt;=O39,IF(G39="00.未確認","状況要確認",IF(Q39="","開始要確認","予定内")),"予定前")))))</x:f>
        <x:v>予定前</x:v>
      </x:c>
      <x:c r="W39" s="56" t="str">
        <x:v>26</x:v>
      </x:c>
      <x:c r="X39" s="56" t="str">
        <x:v>原資料展開</x:v>
      </x:c>
      <x:c r="Y39" s="56" t="str">
        <x:v>マッピング・変換・結合・更新・異常時処理・テスト観点の設計</x:v>
      </x:c>
      <x:c r="Z39" s="56" t="str">
        <x:v>依存関係は計画上の仮置き。実際の参照関係で見直す。</x:v>
      </x:c>
      <x:c r="AA39" s="181" t="str">
        <x:f>IF(AND(IF(J39="",TRUE,COUNTIF($A$7:$A$38,J39)=1),IF(K39="",TRUE,COUNTIF($A$7:$A$38,K39)=1),IF(L39="",TRUE,COUNTIF($A$7:$A$38,L39)=1),COUNTIF($A$7:$A$107,A39)=1,AND(M39&gt;=1,MOD(M39,1)=0,N39&gt;=0,MOD(N39,1)=0,S39&gt;0,T39&gt;=0,T39&lt;=S39),OR(R39="",AND(Q39&lt;&gt;"",R39&gt;=Q39)),IF(OR(G39="05.完了",G39="06.完了（資料記載）"),U39=1,TRUE),IF(N39=0,U39=1,TRUE)),"OK","要確認")</x:f>
        <x:v>OK</x:v>
      </x:c>
    </x:row>
    <x:row r="40" ht="54" customHeight="1">
      <x:c r="A40" s="135" t="str">
        <x:v>00034</x:v>
      </x:c>
      <x:c r="B40" s="192" t="str">
        <x:v>02.要件・設計</x:v>
      </x:c>
      <x:c r="C40" s="48" t="str">
        <x:v>Account：基本設計・詳細設計</x:v>
      </x:c>
      <x:c r="D40" s="85" t="str">
        <x:v>設計担当（要確定）</x:v>
      </x:c>
      <x:c r="E40" s="48" t="str">
        <x:v>Fabric</x:v>
      </x:c>
      <x:c r="F40" s="143" t="str">
        <x:v>1.高</x:v>
      </x:c>
      <x:c r="G40" s="85" t="str">
        <x:v>00.未確認</x:v>
      </x:c>
      <x:c r="H40" s="149" t="str">
        <x:v>設計</x:v>
      </x:c>
      <x:c r="I40" s="48" t="str">
        <x:v>Account</x:v>
      </x:c>
      <x:c r="J40" s="157" t="str">
        <x:v>00021</x:v>
      </x:c>
      <x:c r="K40" s="157" t="str">
        <x:v>00026</x:v>
      </x:c>
      <x:c r="L40" s="157" t="str">
        <x:v>00031</x:v>
      </x:c>
      <x:c r="M40" s="143" t="n">
        <x:v>1</x:v>
      </x:c>
      <x:c r="N40" s="143" t="n">
        <x:v>3</x:v>
      </x:c>
      <x:c r="O40" s="163" t="n">
        <x:f>IF(OR('設定'!$B$4="",N40=0),"",MAX(WORKDAY.INTL('設定'!$B$4-1,M40,'設定'!$B$6,'設定'!$J$4:$J$53),IF(J40="",0,IF(COUNTIF($A$7:$A$39,J40)=1,IFERROR(IF(INDEX($P$7:$P$39,MATCH(J40,$A$7:$A$39,0),1)=0,0,WORKDAY.INTL(INDEX($P$7:$P$39,MATCH(J40,$A$7:$A$39,0),1),1,'設定'!$B$6,'設定'!$J$4:$J$53)),0),0)),IF(K40="",0,IF(COUNTIF($A$7:$A$39,K40)=1,IFERROR(IF(INDEX($P$7:$P$39,MATCH(K40,$A$7:$A$39,0),1)=0,0,WORKDAY.INTL(INDEX($P$7:$P$39,MATCH(K40,$A$7:$A$39,0),1),1,'設定'!$B$6,'設定'!$J$4:$J$53)),0),0)),IF(L40="",0,IF(COUNTIF($A$7:$A$39,L40)=1,IFERROR(IF(INDEX($P$7:$P$39,MATCH(L40,$A$7:$A$39,0),1)=0,0,WORKDAY.INTL(INDEX($P$7:$P$39,MATCH(L40,$A$7:$A$39,0),1),1,'設定'!$B$6,'設定'!$J$4:$J$53)),0),0))))</x:f>
        <x:v>46351</x:v>
      </x:c>
      <x:c r="P40" s="163" t="n">
        <x:f>IF(O40="","",WORKDAY.INTL(O40,N40-1,'設定'!$B$6,'設定'!$J$4:$J$53))</x:f>
        <x:v>46353</x:v>
      </x:c>
      <x:c r="Q40" s="169"/>
      <x:c r="R40" s="169"/>
      <x:c r="S40" s="143" t="n">
        <x:v>1</x:v>
      </x:c>
      <x:c r="T40" s="143" t="n">
        <x:v>0</x:v>
      </x:c>
      <x:c r="U40" s="175" t="n">
        <x:f>IFERROR(T40/S40,0)</x:f>
        <x:v>0</x:v>
      </x:c>
      <x:c r="V40" s="91" t="str">
        <x:f>IF(U40&gt;=1,IF(R40="","完了（実績日未確認）",IF(P40="","完了",IF(R40&gt;P40,"完了（遅延）","完了"))),IF(G40="04.保留","保留",IF(O40="","未計画",IF('設定'!$B$5&gt;P40,IF(G40="00.未確認","要確認（期限超過）","遅延"),IF('設定'!$B$5&gt;=O40,IF(G40="00.未確認","状況要確認",IF(Q40="","開始要確認","予定内")),"予定前")))))</x:f>
        <x:v>予定前</x:v>
      </x:c>
      <x:c r="W40" s="48" t="str">
        <x:v>27</x:v>
      </x:c>
      <x:c r="X40" s="48" t="str">
        <x:v>原資料展開</x:v>
      </x:c>
      <x:c r="Y40" s="48" t="str">
        <x:v>マッピング・変換・結合・更新・異常時処理・テスト観点の設計</x:v>
      </x:c>
      <x:c r="Z40" s="48" t="str">
        <x:v>依存関係は計画上の仮置き。実際の参照関係で見直す。</x:v>
      </x:c>
      <x:c r="AA40" s="181" t="str">
        <x:f>IF(AND(IF(J40="",TRUE,COUNTIF($A$7:$A$39,J40)=1),IF(K40="",TRUE,COUNTIF($A$7:$A$39,K40)=1),IF(L40="",TRUE,COUNTIF($A$7:$A$39,L40)=1),COUNTIF($A$7:$A$107,A40)=1,AND(M40&gt;=1,MOD(M40,1)=0,N40&gt;=0,MOD(N40,1)=0,S40&gt;0,T40&gt;=0,T40&lt;=S40),OR(R40="",AND(Q40&lt;&gt;"",R40&gt;=Q40)),IF(OR(G40="05.完了",G40="06.完了（資料記載）"),U40=1,TRUE),IF(N40=0,U40=1,TRUE)),"OK","要確認")</x:f>
        <x:v>OK</x:v>
      </x:c>
    </x:row>
    <x:row r="41" ht="54" customHeight="1">
      <x:c r="A41" s="136" t="str">
        <x:v>00035</x:v>
      </x:c>
      <x:c r="B41" s="192" t="str">
        <x:v>02.要件・設計</x:v>
      </x:c>
      <x:c r="C41" s="56" t="str">
        <x:v>AccountContact：基本設計・詳細設計</x:v>
      </x:c>
      <x:c r="D41" s="85" t="str">
        <x:v>設計担当（要確定）</x:v>
      </x:c>
      <x:c r="E41" s="56" t="str">
        <x:v>Fabric</x:v>
      </x:c>
      <x:c r="F41" s="143" t="str">
        <x:v>1.高</x:v>
      </x:c>
      <x:c r="G41" s="85" t="str">
        <x:v>00.未確認</x:v>
      </x:c>
      <x:c r="H41" s="150" t="str">
        <x:v>設計</x:v>
      </x:c>
      <x:c r="I41" s="56" t="str">
        <x:v>AccountContact</x:v>
      </x:c>
      <x:c r="J41" s="157" t="str">
        <x:v>00022</x:v>
      </x:c>
      <x:c r="K41" s="157" t="str">
        <x:v>00033</x:v>
      </x:c>
      <x:c r="L41" s="157" t="str">
        <x:v>00034</x:v>
      </x:c>
      <x:c r="M41" s="143" t="n">
        <x:v>1</x:v>
      </x:c>
      <x:c r="N41" s="143" t="n">
        <x:v>3</x:v>
      </x:c>
      <x:c r="O41" s="163" t="n">
        <x:f>IF(OR('設定'!$B$4="",N41=0),"",MAX(WORKDAY.INTL('設定'!$B$4-1,M41,'設定'!$B$6,'設定'!$J$4:$J$53),IF(J41="",0,IF(COUNTIF($A$7:$A$40,J41)=1,IFERROR(IF(INDEX($P$7:$P$40,MATCH(J41,$A$7:$A$40,0),1)=0,0,WORKDAY.INTL(INDEX($P$7:$P$40,MATCH(J41,$A$7:$A$40,0),1),1,'設定'!$B$6,'設定'!$J$4:$J$53)),0),0)),IF(K41="",0,IF(COUNTIF($A$7:$A$40,K41)=1,IFERROR(IF(INDEX($P$7:$P$40,MATCH(K41,$A$7:$A$40,0),1)=0,0,WORKDAY.INTL(INDEX($P$7:$P$40,MATCH(K41,$A$7:$A$40,0),1),1,'設定'!$B$6,'設定'!$J$4:$J$53)),0),0)),IF(L41="",0,IF(COUNTIF($A$7:$A$40,L41)=1,IFERROR(IF(INDEX($P$7:$P$40,MATCH(L41,$A$7:$A$40,0),1)=0,0,WORKDAY.INTL(INDEX($P$7:$P$40,MATCH(L41,$A$7:$A$40,0),1),1,'設定'!$B$6,'設定'!$J$4:$J$53)),0),0))))</x:f>
        <x:v>46356</x:v>
      </x:c>
      <x:c r="P41" s="163" t="n">
        <x:f>IF(O41="","",WORKDAY.INTL(O41,N41-1,'設定'!$B$6,'設定'!$J$4:$J$53))</x:f>
        <x:v>46358</x:v>
      </x:c>
      <x:c r="Q41" s="169"/>
      <x:c r="R41" s="169"/>
      <x:c r="S41" s="143" t="n">
        <x:v>1</x:v>
      </x:c>
      <x:c r="T41" s="143" t="n">
        <x:v>0</x:v>
      </x:c>
      <x:c r="U41" s="175" t="n">
        <x:f>IFERROR(T41/S41,0)</x:f>
        <x:v>0</x:v>
      </x:c>
      <x:c r="V41" s="91" t="str">
        <x:f>IF(U41&gt;=1,IF(R41="","完了（実績日未確認）",IF(P41="","完了",IF(R41&gt;P41,"完了（遅延）","完了"))),IF(G41="04.保留","保留",IF(O41="","未計画",IF('設定'!$B$5&gt;P41,IF(G41="00.未確認","要確認（期限超過）","遅延"),IF('設定'!$B$5&gt;=O41,IF(G41="00.未確認","状況要確認",IF(Q41="","開始要確認","予定内")),"予定前")))))</x:f>
        <x:v>予定前</x:v>
      </x:c>
      <x:c r="W41" s="56" t="str">
        <x:v>28</x:v>
      </x:c>
      <x:c r="X41" s="56" t="str">
        <x:v>原資料展開</x:v>
      </x:c>
      <x:c r="Y41" s="56" t="str">
        <x:v>マッピング・変換・結合・更新・異常時処理・テスト観点の設計</x:v>
      </x:c>
      <x:c r="Z41" s="56" t="str">
        <x:v>依存関係は計画上の仮置き。実際の参照関係で見直す。</x:v>
      </x:c>
      <x:c r="AA41" s="181" t="str">
        <x:f>IF(AND(IF(J41="",TRUE,COUNTIF($A$7:$A$40,J41)=1),IF(K41="",TRUE,COUNTIF($A$7:$A$40,K41)=1),IF(L41="",TRUE,COUNTIF($A$7:$A$40,L41)=1),COUNTIF($A$7:$A$107,A41)=1,AND(M41&gt;=1,MOD(M41,1)=0,N41&gt;=0,MOD(N41,1)=0,S41&gt;0,T41&gt;=0,T41&lt;=S41),OR(R41="",AND(Q41&lt;&gt;"",R41&gt;=Q41)),IF(OR(G41="05.完了",G41="06.完了（資料記載）"),U41=1,TRUE),IF(N41=0,U41=1,TRUE)),"OK","要確認")</x:f>
        <x:v>OK</x:v>
      </x:c>
    </x:row>
    <x:row r="42" ht="54" customHeight="1">
      <x:c r="A42" s="135" t="str">
        <x:v>00036</x:v>
      </x:c>
      <x:c r="B42" s="192" t="str">
        <x:v>02.要件・設計</x:v>
      </x:c>
      <x:c r="C42" s="48" t="str">
        <x:v>SalesRepHospital：基本設計・詳細設計</x:v>
      </x:c>
      <x:c r="D42" s="85" t="str">
        <x:v>設計担当（要確定）</x:v>
      </x:c>
      <x:c r="E42" s="48" t="str">
        <x:v>Fabric</x:v>
      </x:c>
      <x:c r="F42" s="143" t="str">
        <x:v>1.高</x:v>
      </x:c>
      <x:c r="G42" s="85" t="str">
        <x:v>00.未確認</x:v>
      </x:c>
      <x:c r="H42" s="149" t="str">
        <x:v>設計</x:v>
      </x:c>
      <x:c r="I42" s="48" t="str">
        <x:v>SalesRepHospital</x:v>
      </x:c>
      <x:c r="J42" s="157" t="str">
        <x:v>00023</x:v>
      </x:c>
      <x:c r="K42" s="157" t="str">
        <x:v>00032</x:v>
      </x:c>
      <x:c r="L42" s="157" t="str">
        <x:v>00035</x:v>
      </x:c>
      <x:c r="M42" s="143" t="n">
        <x:v>1</x:v>
      </x:c>
      <x:c r="N42" s="143" t="n">
        <x:v>3</x:v>
      </x:c>
      <x:c r="O42" s="163" t="n">
        <x:f>IF(OR('設定'!$B$4="",N42=0),"",MAX(WORKDAY.INTL('設定'!$B$4-1,M42,'設定'!$B$6,'設定'!$J$4:$J$53),IF(J42="",0,IF(COUNTIF($A$7:$A$41,J42)=1,IFERROR(IF(INDEX($P$7:$P$41,MATCH(J42,$A$7:$A$41,0),1)=0,0,WORKDAY.INTL(INDEX($P$7:$P$41,MATCH(J42,$A$7:$A$41,0),1),1,'設定'!$B$6,'設定'!$J$4:$J$53)),0),0)),IF(K42="",0,IF(COUNTIF($A$7:$A$41,K42)=1,IFERROR(IF(INDEX($P$7:$P$41,MATCH(K42,$A$7:$A$41,0),1)=0,0,WORKDAY.INTL(INDEX($P$7:$P$41,MATCH(K42,$A$7:$A$41,0),1),1,'設定'!$B$6,'設定'!$J$4:$J$53)),0),0)),IF(L42="",0,IF(COUNTIF($A$7:$A$41,L42)=1,IFERROR(IF(INDEX($P$7:$P$41,MATCH(L42,$A$7:$A$41,0),1)=0,0,WORKDAY.INTL(INDEX($P$7:$P$41,MATCH(L42,$A$7:$A$41,0),1),1,'設定'!$B$6,'設定'!$J$4:$J$53)),0),0))))</x:f>
        <x:v>46359</x:v>
      </x:c>
      <x:c r="P42" s="163" t="n">
        <x:f>IF(O42="","",WORKDAY.INTL(O42,N42-1,'設定'!$B$6,'設定'!$J$4:$J$53))</x:f>
        <x:v>46363</x:v>
      </x:c>
      <x:c r="Q42" s="169"/>
      <x:c r="R42" s="169"/>
      <x:c r="S42" s="143" t="n">
        <x:v>1</x:v>
      </x:c>
      <x:c r="T42" s="143" t="n">
        <x:v>0</x:v>
      </x:c>
      <x:c r="U42" s="175" t="n">
        <x:f>IFERROR(T42/S42,0)</x:f>
        <x:v>0</x:v>
      </x:c>
      <x:c r="V42" s="91" t="str">
        <x:f>IF(U42&gt;=1,IF(R42="","完了（実績日未確認）",IF(P42="","完了",IF(R42&gt;P42,"完了（遅延）","完了"))),IF(G42="04.保留","保留",IF(O42="","未計画",IF('設定'!$B$5&gt;P42,IF(G42="00.未確認","要確認（期限超過）","遅延"),IF('設定'!$B$5&gt;=O42,IF(G42="00.未確認","状況要確認",IF(Q42="","開始要確認","予定内")),"予定前")))))</x:f>
        <x:v>予定前</x:v>
      </x:c>
      <x:c r="W42" s="48" t="str">
        <x:v>29</x:v>
      </x:c>
      <x:c r="X42" s="48" t="str">
        <x:v>原資料展開</x:v>
      </x:c>
      <x:c r="Y42" s="48" t="str">
        <x:v>マッピング・変換・結合・更新・異常時処理・テスト観点の設計</x:v>
      </x:c>
      <x:c r="Z42" s="48" t="str">
        <x:v>依存関係は計画上の仮置き。実際の参照関係で見直す。</x:v>
      </x:c>
      <x:c r="AA42" s="181" t="str">
        <x:f>IF(AND(IF(J42="",TRUE,COUNTIF($A$7:$A$41,J42)=1),IF(K42="",TRUE,COUNTIF($A$7:$A$41,K42)=1),IF(L42="",TRUE,COUNTIF($A$7:$A$41,L42)=1),COUNTIF($A$7:$A$107,A42)=1,AND(M42&gt;=1,MOD(M42,1)=0,N42&gt;=0,MOD(N42,1)=0,S42&gt;0,T42&gt;=0,T42&lt;=S42),OR(R42="",AND(Q42&lt;&gt;"",R42&gt;=Q42)),IF(OR(G42="05.完了",G42="06.完了（資料記載）"),U42=1,TRUE),IF(N42=0,U42=1,TRUE)),"OK","要確認")</x:f>
        <x:v>OK</x:v>
      </x:c>
    </x:row>
    <x:row r="43" ht="54" customHeight="1">
      <x:c r="A43" s="136" t="str">
        <x:v>00037</x:v>
      </x:c>
      <x:c r="B43" s="198" t="str">
        <x:v>04.開発</x:v>
      </x:c>
      <x:c r="C43" s="56" t="str">
        <x:v>QAワークスペース作成・権限付与</x:v>
      </x:c>
      <x:c r="D43" s="85" t="str">
        <x:v>基盤担当（要確定）</x:v>
      </x:c>
      <x:c r="E43" s="56" t="str">
        <x:v>Fabric</x:v>
      </x:c>
      <x:c r="F43" s="143" t="str">
        <x:v>2.中</x:v>
      </x:c>
      <x:c r="G43" s="85" t="str">
        <x:v>00.未確認</x:v>
      </x:c>
      <x:c r="H43" s="150" t="str">
        <x:v>開発</x:v>
      </x:c>
      <x:c r="I43" s="56" t="str">
        <x:v>共通</x:v>
      </x:c>
      <x:c r="J43" s="157" t="str">
        <x:v>00024</x:v>
      </x:c>
      <x:c r="K43" s="157" t="str"/>
      <x:c r="L43" s="157" t="str"/>
      <x:c r="M43" s="143" t="n">
        <x:v>1</x:v>
      </x:c>
      <x:c r="N43" s="143" t="n">
        <x:v>2</x:v>
      </x:c>
      <x:c r="O43" s="163" t="n">
        <x:f>IF(OR('設定'!$B$4="",N43=0),"",MAX(WORKDAY.INTL('設定'!$B$4-1,M43,'設定'!$B$6,'設定'!$J$4:$J$53),IF(J43="",0,IF(COUNTIF($A$7:$A$42,J43)=1,IFERROR(IF(INDEX($P$7:$P$42,MATCH(J43,$A$7:$A$42,0),1)=0,0,WORKDAY.INTL(INDEX($P$7:$P$42,MATCH(J43,$A$7:$A$42,0),1),1,'設定'!$B$6,'設定'!$J$4:$J$53)),0),0)),IF(K43="",0,IF(COUNTIF($A$7:$A$42,K43)=1,IFERROR(IF(INDEX($P$7:$P$42,MATCH(K43,$A$7:$A$42,0),1)=0,0,WORKDAY.INTL(INDEX($P$7:$P$42,MATCH(K43,$A$7:$A$42,0),1),1,'設定'!$B$6,'設定'!$J$4:$J$53)),0),0)),IF(L43="",0,IF(COUNTIF($A$7:$A$42,L43)=1,IFERROR(IF(INDEX($P$7:$P$42,MATCH(L43,$A$7:$A$42,0),1)=0,0,WORKDAY.INTL(INDEX($P$7:$P$42,MATCH(L43,$A$7:$A$42,0),1),1,'設定'!$B$6,'設定'!$J$4:$J$53)),0),0))))</x:f>
        <x:v>46342</x:v>
      </x:c>
      <x:c r="P43" s="163" t="n">
        <x:f>IF(O43="","",WORKDAY.INTL(O43,N43-1,'設定'!$B$6,'設定'!$J$4:$J$53))</x:f>
        <x:v>46343</x:v>
      </x:c>
      <x:c r="Q43" s="169"/>
      <x:c r="R43" s="169"/>
      <x:c r="S43" s="143" t="n">
        <x:v>1</x:v>
      </x:c>
      <x:c r="T43" s="143" t="n">
        <x:v>0</x:v>
      </x:c>
      <x:c r="U43" s="175" t="n">
        <x:f>IFERROR(T43/S43,0)</x:f>
        <x:v>0</x:v>
      </x:c>
      <x:c r="V43" s="91" t="str">
        <x:f>IF(U43&gt;=1,IF(R43="","完了（実績日未確認）",IF(P43="","完了",IF(R43&gt;P43,"完了（遅延）","完了"))),IF(G43="04.保留","保留",IF(O43="","未計画",IF('設定'!$B$5&gt;P43,IF(G43="00.未確認","要確認（期限超過）","遅延"),IF('設定'!$B$5&gt;=O43,IF(G43="00.未確認","状況要確認",IF(Q43="","開始要確認","予定内")),"予定前")))))</x:f>
        <x:v>予定前</x:v>
      </x:c>
      <x:c r="W43" s="56" t="str">
        <x:v>30</x:v>
      </x:c>
      <x:c r="X43" s="56" t="str">
        <x:v>原資料展開</x:v>
      </x:c>
      <x:c r="Y43" s="56" t="str">
        <x:v>QA環境とテスト実行権限</x:v>
      </x:c>
      <x:c r="Z43" s="56" t="str"/>
      <x:c r="AA43" s="181" t="str">
        <x:f>IF(AND(IF(J43="",TRUE,COUNTIF($A$7:$A$42,J43)=1),IF(K43="",TRUE,COUNTIF($A$7:$A$42,K43)=1),IF(L43="",TRUE,COUNTIF($A$7:$A$42,L43)=1),COUNTIF($A$7:$A$107,A43)=1,AND(M43&gt;=1,MOD(M43,1)=0,N43&gt;=0,MOD(N43,1)=0,S43&gt;0,T43&gt;=0,T43&lt;=S43),OR(R43="",AND(Q43&lt;&gt;"",R43&gt;=Q43)),IF(OR(G43="05.完了",G43="06.完了（資料記載）"),U43=1,TRUE),IF(N43=0,U43=1,TRUE)),"OK","要確認")</x:f>
        <x:v>OK</x:v>
      </x:c>
    </x:row>
    <x:row r="44" ht="54" customHeight="1">
      <x:c r="A44" s="135" t="str">
        <x:v>00038</x:v>
      </x:c>
      <x:c r="B44" s="198" t="str">
        <x:v>04.開発</x:v>
      </x:c>
      <x:c r="C44" s="48" t="str">
        <x:v>PRODワークスペース作成・権限付与</x:v>
      </x:c>
      <x:c r="D44" s="85" t="str">
        <x:v>基盤担当（要確定）</x:v>
      </x:c>
      <x:c r="E44" s="48" t="str">
        <x:v>Fabric</x:v>
      </x:c>
      <x:c r="F44" s="143" t="str">
        <x:v>2.中</x:v>
      </x:c>
      <x:c r="G44" s="85" t="str">
        <x:v>00.未確認</x:v>
      </x:c>
      <x:c r="H44" s="149" t="str">
        <x:v>開発</x:v>
      </x:c>
      <x:c r="I44" s="48" t="str">
        <x:v>共通</x:v>
      </x:c>
      <x:c r="J44" s="157" t="str">
        <x:v>00037</x:v>
      </x:c>
      <x:c r="K44" s="157" t="str"/>
      <x:c r="L44" s="157" t="str"/>
      <x:c r="M44" s="143" t="n">
        <x:v>1</x:v>
      </x:c>
      <x:c r="N44" s="143" t="n">
        <x:v>2</x:v>
      </x:c>
      <x:c r="O44" s="163" t="n">
        <x:f>IF(OR('設定'!$B$4="",N44=0),"",MAX(WORKDAY.INTL('設定'!$B$4-1,M44,'設定'!$B$6,'設定'!$J$4:$J$53),IF(J44="",0,IF(COUNTIF($A$7:$A$43,J44)=1,IFERROR(IF(INDEX($P$7:$P$43,MATCH(J44,$A$7:$A$43,0),1)=0,0,WORKDAY.INTL(INDEX($P$7:$P$43,MATCH(J44,$A$7:$A$43,0),1),1,'設定'!$B$6,'設定'!$J$4:$J$53)),0),0)),IF(K44="",0,IF(COUNTIF($A$7:$A$43,K44)=1,IFERROR(IF(INDEX($P$7:$P$43,MATCH(K44,$A$7:$A$43,0),1)=0,0,WORKDAY.INTL(INDEX($P$7:$P$43,MATCH(K44,$A$7:$A$43,0),1),1,'設定'!$B$6,'設定'!$J$4:$J$53)),0),0)),IF(L44="",0,IF(COUNTIF($A$7:$A$43,L44)=1,IFERROR(IF(INDEX($P$7:$P$43,MATCH(L44,$A$7:$A$43,0),1)=0,0,WORKDAY.INTL(INDEX($P$7:$P$43,MATCH(L44,$A$7:$A$43,0),1),1,'設定'!$B$6,'設定'!$J$4:$J$53)),0),0))))</x:f>
        <x:v>46344</x:v>
      </x:c>
      <x:c r="P44" s="163" t="n">
        <x:f>IF(O44="","",WORKDAY.INTL(O44,N44-1,'設定'!$B$6,'設定'!$J$4:$J$53))</x:f>
        <x:v>46345</x:v>
      </x:c>
      <x:c r="Q44" s="169"/>
      <x:c r="R44" s="169"/>
      <x:c r="S44" s="143" t="n">
        <x:v>1</x:v>
      </x:c>
      <x:c r="T44" s="143" t="n">
        <x:v>0</x:v>
      </x:c>
      <x:c r="U44" s="175" t="n">
        <x:f>IFERROR(T44/S44,0)</x:f>
        <x:v>0</x:v>
      </x:c>
      <x:c r="V44" s="91" t="str">
        <x:f>IF(U44&gt;=1,IF(R44="","完了（実績日未確認）",IF(P44="","完了",IF(R44&gt;P44,"完了（遅延）","完了"))),IF(G44="04.保留","保留",IF(O44="","未計画",IF('設定'!$B$5&gt;P44,IF(G44="00.未確認","要確認（期限超過）","遅延"),IF('設定'!$B$5&gt;=O44,IF(G44="00.未確認","状況要確認",IF(Q44="","開始要確認","予定内")),"予定前")))))</x:f>
        <x:v>予定前</x:v>
      </x:c>
      <x:c r="W44" s="48" t="str">
        <x:v>30</x:v>
      </x:c>
      <x:c r="X44" s="48" t="str">
        <x:v>原資料展開</x:v>
      </x:c>
      <x:c r="Y44" s="48" t="str">
        <x:v>PROD環境・権限設定</x:v>
      </x:c>
      <x:c r="Z44" s="48" t="str">
        <x:v>本番リリース作業は画像範囲外のため未計上。</x:v>
      </x:c>
      <x:c r="AA44" s="181" t="str">
        <x:f>IF(AND(IF(J44="",TRUE,COUNTIF($A$7:$A$43,J44)=1),IF(K44="",TRUE,COUNTIF($A$7:$A$43,K44)=1),IF(L44="",TRUE,COUNTIF($A$7:$A$43,L44)=1),COUNTIF($A$7:$A$107,A44)=1,AND(M44&gt;=1,MOD(M44,1)=0,N44&gt;=0,MOD(N44,1)=0,S44&gt;0,T44&gt;=0,T44&lt;=S44),OR(R44="",AND(Q44&lt;&gt;"",R44&gt;=Q44)),IF(OR(G44="05.完了",G44="06.完了（資料記載）"),U44=1,TRUE),IF(N44=0,U44=1,TRUE)),"OK","要確認")</x:f>
        <x:v>OK</x:v>
      </x:c>
    </x:row>
    <x:row r="45" ht="54" customHeight="1">
      <x:c r="A45" s="136" t="str">
        <x:v>00039</x:v>
      </x:c>
      <x:c r="B45" s="198" t="str">
        <x:v>04.開発</x:v>
      </x:c>
      <x:c r="C45" s="56" t="str">
        <x:v>BronzeLakehouse：追加テーブル定義</x:v>
      </x:c>
      <x:c r="D45" s="85" t="str">
        <x:v>開発担当（要確定）</x:v>
      </x:c>
      <x:c r="E45" s="56" t="str">
        <x:v>Japan Data Platform／Bronze</x:v>
      </x:c>
      <x:c r="F45" s="143" t="str">
        <x:v>2.中</x:v>
      </x:c>
      <x:c r="G45" s="85" t="str">
        <x:v>00.未確認</x:v>
      </x:c>
      <x:c r="H45" s="150" t="str">
        <x:v>開発</x:v>
      </x:c>
      <x:c r="I45" s="56" t="str">
        <x:v>共通</x:v>
      </x:c>
      <x:c r="J45" s="157" t="str">
        <x:v>00025</x:v>
      </x:c>
      <x:c r="K45" s="157" t="str">
        <x:v>00026</x:v>
      </x:c>
      <x:c r="L45" s="157" t="str">
        <x:v>00027</x:v>
      </x:c>
      <x:c r="M45" s="143" t="n">
        <x:v>1</x:v>
      </x:c>
      <x:c r="N45" s="143" t="n">
        <x:v>3</x:v>
      </x:c>
      <x:c r="O45" s="163" t="n">
        <x:f>IF(OR('設定'!$B$4="",N45=0),"",MAX(WORKDAY.INTL('設定'!$B$4-1,M45,'設定'!$B$6,'設定'!$J$4:$J$53),IF(J45="",0,IF(COUNTIF($A$7:$A$44,J45)=1,IFERROR(IF(INDEX($P$7:$P$44,MATCH(J45,$A$7:$A$44,0),1)=0,0,WORKDAY.INTL(INDEX($P$7:$P$44,MATCH(J45,$A$7:$A$44,0),1),1,'設定'!$B$6,'設定'!$J$4:$J$53)),0),0)),IF(K45="",0,IF(COUNTIF($A$7:$A$44,K45)=1,IFERROR(IF(INDEX($P$7:$P$44,MATCH(K45,$A$7:$A$44,0),1)=0,0,WORKDAY.INTL(INDEX($P$7:$P$44,MATCH(K45,$A$7:$A$44,0),1),1,'設定'!$B$6,'設定'!$J$4:$J$53)),0),0)),IF(L45="",0,IF(COUNTIF($A$7:$A$44,L45)=1,IFERROR(IF(INDEX($P$7:$P$44,MATCH(L45,$A$7:$A$44,0),1)=0,0,WORKDAY.INTL(INDEX($P$7:$P$44,MATCH(L45,$A$7:$A$44,0),1),1,'設定'!$B$6,'設定'!$J$4:$J$53)),0),0))))</x:f>
        <x:v>46344</x:v>
      </x:c>
      <x:c r="P45" s="163" t="n">
        <x:f>IF(O45="","",WORKDAY.INTL(O45,N45-1,'設定'!$B$6,'設定'!$J$4:$J$53))</x:f>
        <x:v>46346</x:v>
      </x:c>
      <x:c r="Q45" s="169"/>
      <x:c r="R45" s="169"/>
      <x:c r="S45" s="143" t="n">
        <x:v>1</x:v>
      </x:c>
      <x:c r="T45" s="143" t="n">
        <x:v>0</x:v>
      </x:c>
      <x:c r="U45" s="175" t="n">
        <x:f>IFERROR(T45/S45,0)</x:f>
        <x:v>0</x:v>
      </x:c>
      <x:c r="V45" s="91" t="str">
        <x:f>IF(U45&gt;=1,IF(R45="","完了（実績日未確認）",IF(P45="","完了",IF(R45&gt;P45,"完了（遅延）","完了"))),IF(G45="04.保留","保留",IF(O45="","未計画",IF('設定'!$B$5&gt;P45,IF(G45="00.未確認","要確認（期限超過）","遅延"),IF('設定'!$B$5&gt;=O45,IF(G45="00.未確認","状況要確認",IF(Q45="","開始要確認","予定内")),"予定前")))))</x:f>
        <x:v>予定前</x:v>
      </x:c>
      <x:c r="W45" s="56" t="str">
        <x:v>36</x:v>
      </x:c>
      <x:c r="X45" s="56" t="str">
        <x:v>原資料展開</x:v>
      </x:c>
      <x:c r="Y45" s="56" t="str">
        <x:v>追加テーブル・列・型の定義と配置</x:v>
      </x:c>
      <x:c r="Z45" s="56" t="str">
        <x:v>39テーブルはAs-Is同様の場合の暫定見込み。数量・所要日数を再見積り。</x:v>
      </x:c>
      <x:c r="AA45" s="181" t="str">
        <x:f>IF(AND(IF(J45="",TRUE,COUNTIF($A$7:$A$44,J45)=1),IF(K45="",TRUE,COUNTIF($A$7:$A$44,K45)=1),IF(L45="",TRUE,COUNTIF($A$7:$A$44,L45)=1),COUNTIF($A$7:$A$107,A45)=1,AND(M45&gt;=1,MOD(M45,1)=0,N45&gt;=0,MOD(N45,1)=0,S45&gt;0,T45&gt;=0,T45&lt;=S45),OR(R45="",AND(Q45&lt;&gt;"",R45&gt;=Q45)),IF(OR(G45="05.完了",G45="06.完了（資料記載）"),U45=1,TRUE),IF(N45=0,U45=1,TRUE)),"OK","要確認")</x:f>
        <x:v>OK</x:v>
      </x:c>
    </x:row>
    <x:row r="46" ht="54" customHeight="1">
      <x:c r="A46" s="135" t="str">
        <x:v>00040</x:v>
      </x:c>
      <x:c r="B46" s="198" t="str">
        <x:v>04.開発</x:v>
      </x:c>
      <x:c r="C46" s="48" t="str">
        <x:v>BronzeDataflow：追加・差分／全件更新の実装</x:v>
      </x:c>
      <x:c r="D46" s="85" t="str">
        <x:v>開発担当（要確定）</x:v>
      </x:c>
      <x:c r="E46" s="48" t="str">
        <x:v>Japan Data Platform／Dataflow</x:v>
      </x:c>
      <x:c r="F46" s="143" t="str">
        <x:v>2.中</x:v>
      </x:c>
      <x:c r="G46" s="85" t="str">
        <x:v>00.未確認</x:v>
      </x:c>
      <x:c r="H46" s="149" t="str">
        <x:v>開発</x:v>
      </x:c>
      <x:c r="I46" s="48" t="str">
        <x:v>共通</x:v>
      </x:c>
      <x:c r="J46" s="157" t="str">
        <x:v>00039</x:v>
      </x:c>
      <x:c r="K46" s="157" t="str">
        <x:v>00008</x:v>
      </x:c>
      <x:c r="L46" s="157" t="str">
        <x:v>00016</x:v>
      </x:c>
      <x:c r="M46" s="143" t="n">
        <x:v>1</x:v>
      </x:c>
      <x:c r="N46" s="143" t="n">
        <x:v>4</x:v>
      </x:c>
      <x:c r="O46" s="163" t="n">
        <x:f>IF(OR('設定'!$B$4="",N46=0),"",MAX(WORKDAY.INTL('設定'!$B$4-1,M46,'設定'!$B$6,'設定'!$J$4:$J$53),IF(J46="",0,IF(COUNTIF($A$7:$A$45,J46)=1,IFERROR(IF(INDEX($P$7:$P$45,MATCH(J46,$A$7:$A$45,0),1)=0,0,WORKDAY.INTL(INDEX($P$7:$P$45,MATCH(J46,$A$7:$A$45,0),1),1,'設定'!$B$6,'設定'!$J$4:$J$53)),0),0)),IF(K46="",0,IF(COUNTIF($A$7:$A$45,K46)=1,IFERROR(IF(INDEX($P$7:$P$45,MATCH(K46,$A$7:$A$45,0),1)=0,0,WORKDAY.INTL(INDEX($P$7:$P$45,MATCH(K46,$A$7:$A$45,0),1),1,'設定'!$B$6,'設定'!$J$4:$J$53)),0),0)),IF(L46="",0,IF(COUNTIF($A$7:$A$45,L46)=1,IFERROR(IF(INDEX($P$7:$P$45,MATCH(L46,$A$7:$A$45,0),1)=0,0,WORKDAY.INTL(INDEX($P$7:$P$45,MATCH(L46,$A$7:$A$45,0),1),1,'設定'!$B$6,'設定'!$J$4:$J$53)),0),0))))</x:f>
        <x:v>46349</x:v>
      </x:c>
      <x:c r="P46" s="163" t="n">
        <x:f>IF(O46="","",WORKDAY.INTL(O46,N46-1,'設定'!$B$6,'設定'!$J$4:$J$53))</x:f>
        <x:v>46352</x:v>
      </x:c>
      <x:c r="Q46" s="169"/>
      <x:c r="R46" s="169"/>
      <x:c r="S46" s="143" t="n">
        <x:v>1</x:v>
      </x:c>
      <x:c r="T46" s="143" t="n">
        <x:v>0</x:v>
      </x:c>
      <x:c r="U46" s="175" t="n">
        <x:f>IFERROR(T46/S46,0)</x:f>
        <x:v>0</x:v>
      </x:c>
      <x:c r="V46" s="91" t="str">
        <x:f>IF(U46&gt;=1,IF(R46="","完了（実績日未確認）",IF(P46="","完了",IF(R46&gt;P46,"完了（遅延）","完了"))),IF(G46="04.保留","保留",IF(O46="","未計画",IF('設定'!$B$5&gt;P46,IF(G46="00.未確認","要確認（期限超過）","遅延"),IF('設定'!$B$5&gt;=O46,IF(G46="00.未確認","状況要確認",IF(Q46="","開始要確認","予定内")),"予定前")))))</x:f>
        <x:v>予定前</x:v>
      </x:c>
      <x:c r="W46" s="48" t="str">
        <x:v>35</x:v>
      </x:c>
      <x:c r="X46" s="48" t="str">
        <x:v>原資料展開</x:v>
      </x:c>
      <x:c r="Y46" s="48" t="str">
        <x:v>入力取得・全件／差分判定・追加Dataflow</x:v>
      </x:c>
      <x:c r="Z46" s="48" t="str"/>
      <x:c r="AA46" s="181" t="str">
        <x:f>IF(AND(IF(J46="",TRUE,COUNTIF($A$7:$A$45,J46)=1),IF(K46="",TRUE,COUNTIF($A$7:$A$45,K46)=1),IF(L46="",TRUE,COUNTIF($A$7:$A$45,L46)=1),COUNTIF($A$7:$A$107,A46)=1,AND(M46&gt;=1,MOD(M46,1)=0,N46&gt;=0,MOD(N46,1)=0,S46&gt;0,T46&gt;=0,T46&lt;=S46),OR(R46="",AND(Q46&lt;&gt;"",R46&gt;=Q46)),IF(OR(G46="05.完了",G46="06.完了（資料記載）"),U46=1,TRUE),IF(N46=0,U46=1,TRUE)),"OK","要確認")</x:f>
        <x:v>OK</x:v>
      </x:c>
    </x:row>
    <x:row r="47" ht="54" customHeight="1">
      <x:c r="A47" s="136" t="str">
        <x:v>00041</x:v>
      </x:c>
      <x:c r="B47" s="198" t="str">
        <x:v>04.開発</x:v>
      </x:c>
      <x:c r="C47" s="56" t="str">
        <x:v>BronzeNotebook：処理追加</x:v>
      </x:c>
      <x:c r="D47" s="85" t="str">
        <x:v>開発担当（要確定）</x:v>
      </x:c>
      <x:c r="E47" s="56" t="str">
        <x:v>Japan Data Platform／Notebook</x:v>
      </x:c>
      <x:c r="F47" s="143" t="str">
        <x:v>2.中</x:v>
      </x:c>
      <x:c r="G47" s="85" t="str">
        <x:v>00.未確認</x:v>
      </x:c>
      <x:c r="H47" s="150" t="str">
        <x:v>開発</x:v>
      </x:c>
      <x:c r="I47" s="56" t="str">
        <x:v>共通</x:v>
      </x:c>
      <x:c r="J47" s="157" t="str">
        <x:v>00040</x:v>
      </x:c>
      <x:c r="K47" s="157" t="str"/>
      <x:c r="L47" s="157" t="str"/>
      <x:c r="M47" s="143" t="n">
        <x:v>1</x:v>
      </x:c>
      <x:c r="N47" s="143" t="n">
        <x:v>4</x:v>
      </x:c>
      <x:c r="O47" s="163" t="n">
        <x:f>IF(OR('設定'!$B$4="",N47=0),"",MAX(WORKDAY.INTL('設定'!$B$4-1,M47,'設定'!$B$6,'設定'!$J$4:$J$53),IF(J47="",0,IF(COUNTIF($A$7:$A$46,J47)=1,IFERROR(IF(INDEX($P$7:$P$46,MATCH(J47,$A$7:$A$46,0),1)=0,0,WORKDAY.INTL(INDEX($P$7:$P$46,MATCH(J47,$A$7:$A$46,0),1),1,'設定'!$B$6,'設定'!$J$4:$J$53)),0),0)),IF(K47="",0,IF(COUNTIF($A$7:$A$46,K47)=1,IFERROR(IF(INDEX($P$7:$P$46,MATCH(K47,$A$7:$A$46,0),1)=0,0,WORKDAY.INTL(INDEX($P$7:$P$46,MATCH(K47,$A$7:$A$46,0),1),1,'設定'!$B$6,'設定'!$J$4:$J$53)),0),0)),IF(L47="",0,IF(COUNTIF($A$7:$A$46,L47)=1,IFERROR(IF(INDEX($P$7:$P$46,MATCH(L47,$A$7:$A$46,0),1)=0,0,WORKDAY.INTL(INDEX($P$7:$P$46,MATCH(L47,$A$7:$A$46,0),1),1,'設定'!$B$6,'設定'!$J$4:$J$53)),0),0))))</x:f>
        <x:v>46353</x:v>
      </x:c>
      <x:c r="P47" s="163" t="n">
        <x:f>IF(O47="","",WORKDAY.INTL(O47,N47-1,'設定'!$B$6,'設定'!$J$4:$J$53))</x:f>
        <x:v>46358</x:v>
      </x:c>
      <x:c r="Q47" s="169"/>
      <x:c r="R47" s="169"/>
      <x:c r="S47" s="143" t="n">
        <x:v>1</x:v>
      </x:c>
      <x:c r="T47" s="143" t="n">
        <x:v>0</x:v>
      </x:c>
      <x:c r="U47" s="175" t="n">
        <x:f>IFERROR(T47/S47,0)</x:f>
        <x:v>0</x:v>
      </x:c>
      <x:c r="V47" s="91" t="str">
        <x:f>IF(U47&gt;=1,IF(R47="","完了（実績日未確認）",IF(P47="","完了",IF(R47&gt;P47,"完了（遅延）","完了"))),IF(G47="04.保留","保留",IF(O47="","未計画",IF('設定'!$B$5&gt;P47,IF(G47="00.未確認","要確認（期限超過）","遅延"),IF('設定'!$B$5&gt;=O47,IF(G47="00.未確認","状況要確認",IF(Q47="","開始要確認","予定内")),"予定前")))))</x:f>
        <x:v>予定前</x:v>
      </x:c>
      <x:c r="W47" s="56" t="str">
        <x:v>37</x:v>
      </x:c>
      <x:c r="X47" s="56" t="str">
        <x:v>原資料展開</x:v>
      </x:c>
      <x:c r="Y47" s="56" t="str">
        <x:v>Bronzeの追加読込み・変換処理</x:v>
      </x:c>
      <x:c r="Z47" s="56" t="str"/>
      <x:c r="AA47" s="181" t="str">
        <x:f>IF(AND(IF(J47="",TRUE,COUNTIF($A$7:$A$46,J47)=1),IF(K47="",TRUE,COUNTIF($A$7:$A$46,K47)=1),IF(L47="",TRUE,COUNTIF($A$7:$A$46,L47)=1),COUNTIF($A$7:$A$107,A47)=1,AND(M47&gt;=1,MOD(M47,1)=0,N47&gt;=0,MOD(N47,1)=0,S47&gt;0,T47&gt;=0,T47&lt;=S47),OR(R47="",AND(Q47&lt;&gt;"",R47&gt;=Q47)),IF(OR(G47="05.完了",G47="06.完了（資料記載）"),U47=1,TRUE),IF(N47=0,U47=1,TRUE)),"OK","要確認")</x:f>
        <x:v>OK</x:v>
      </x:c>
    </x:row>
    <x:row r="48" ht="54" customHeight="1">
      <x:c r="A48" s="135" t="str">
        <x:v>00042</x:v>
      </x:c>
      <x:c r="B48" s="198" t="str">
        <x:v>04.開発</x:v>
      </x:c>
      <x:c r="C48" s="48" t="str">
        <x:v>BronzePipeline：GroupA／B等の処理変更</x:v>
      </x:c>
      <x:c r="D48" s="85" t="str">
        <x:v>開発担当（要確定）</x:v>
      </x:c>
      <x:c r="E48" s="48" t="str">
        <x:v>Japan Data Platform／Pipeline</x:v>
      </x:c>
      <x:c r="F48" s="143" t="str">
        <x:v>2.中</x:v>
      </x:c>
      <x:c r="G48" s="85" t="str">
        <x:v>00.未確認</x:v>
      </x:c>
      <x:c r="H48" s="149" t="str">
        <x:v>開発</x:v>
      </x:c>
      <x:c r="I48" s="48" t="str">
        <x:v>共通</x:v>
      </x:c>
      <x:c r="J48" s="157" t="str">
        <x:v>00041</x:v>
      </x:c>
      <x:c r="K48" s="157" t="str"/>
      <x:c r="L48" s="157" t="str"/>
      <x:c r="M48" s="143" t="n">
        <x:v>1</x:v>
      </x:c>
      <x:c r="N48" s="143" t="n">
        <x:v>2</x:v>
      </x:c>
      <x:c r="O48" s="163" t="n">
        <x:f>IF(OR('設定'!$B$4="",N48=0),"",MAX(WORKDAY.INTL('設定'!$B$4-1,M48,'設定'!$B$6,'設定'!$J$4:$J$53),IF(J48="",0,IF(COUNTIF($A$7:$A$47,J48)=1,IFERROR(IF(INDEX($P$7:$P$47,MATCH(J48,$A$7:$A$47,0),1)=0,0,WORKDAY.INTL(INDEX($P$7:$P$47,MATCH(J48,$A$7:$A$47,0),1),1,'設定'!$B$6,'設定'!$J$4:$J$53)),0),0)),IF(K48="",0,IF(COUNTIF($A$7:$A$47,K48)=1,IFERROR(IF(INDEX($P$7:$P$47,MATCH(K48,$A$7:$A$47,0),1)=0,0,WORKDAY.INTL(INDEX($P$7:$P$47,MATCH(K48,$A$7:$A$47,0),1),1,'設定'!$B$6,'設定'!$J$4:$J$53)),0),0)),IF(L48="",0,IF(COUNTIF($A$7:$A$47,L48)=1,IFERROR(IF(INDEX($P$7:$P$47,MATCH(L48,$A$7:$A$47,0),1)=0,0,WORKDAY.INTL(INDEX($P$7:$P$47,MATCH(L48,$A$7:$A$47,0),1),1,'設定'!$B$6,'設定'!$J$4:$J$53)),0),0))))</x:f>
        <x:v>46359</x:v>
      </x:c>
      <x:c r="P48" s="163" t="n">
        <x:f>IF(O48="","",WORKDAY.INTL(O48,N48-1,'設定'!$B$6,'設定'!$J$4:$J$53))</x:f>
        <x:v>46360</x:v>
      </x:c>
      <x:c r="Q48" s="169"/>
      <x:c r="R48" s="169"/>
      <x:c r="S48" s="143" t="n">
        <x:v>1</x:v>
      </x:c>
      <x:c r="T48" s="143" t="n">
        <x:v>0</x:v>
      </x:c>
      <x:c r="U48" s="175" t="n">
        <x:f>IFERROR(T48/S48,0)</x:f>
        <x:v>0</x:v>
      </x:c>
      <x:c r="V48" s="91" t="str">
        <x:f>IF(U48&gt;=1,IF(R48="","完了（実績日未確認）",IF(P48="","完了",IF(R48&gt;P48,"完了（遅延）","完了"))),IF(G48="04.保留","保留",IF(O48="","未計画",IF('設定'!$B$5&gt;P48,IF(G48="00.未確認","要確認（期限超過）","遅延"),IF('設定'!$B$5&gt;=O48,IF(G48="00.未確認","状況要確認",IF(Q48="","開始要確認","予定内")),"予定前")))))</x:f>
        <x:v>予定前</x:v>
      </x:c>
      <x:c r="W48" s="48" t="str">
        <x:v>34</x:v>
      </x:c>
      <x:c r="X48" s="48" t="str">
        <x:v>原資料展開</x:v>
      </x:c>
      <x:c r="Y48" s="48" t="str">
        <x:v>実行順・GroupA／B・依存関係を反映したPipeline</x:v>
      </x:c>
      <x:c r="Z48" s="48" t="str"/>
      <x:c r="AA48" s="181" t="str">
        <x:f>IF(AND(IF(J48="",TRUE,COUNTIF($A$7:$A$47,J48)=1),IF(K48="",TRUE,COUNTIF($A$7:$A$47,K48)=1),IF(L48="",TRUE,COUNTIF($A$7:$A$47,L48)=1),COUNTIF($A$7:$A$107,A48)=1,AND(M48&gt;=1,MOD(M48,1)=0,N48&gt;=0,MOD(N48,1)=0,S48&gt;0,T48&gt;=0,T48&lt;=S48),OR(R48="",AND(Q48&lt;&gt;"",R48&gt;=Q48)),IF(OR(G48="05.完了",G48="06.完了（資料記載）"),U48=1,TRUE),IF(N48=0,U48=1,TRUE)),"OK","要確認")</x:f>
        <x:v>OK</x:v>
      </x:c>
    </x:row>
    <x:row r="49" ht="54" customHeight="1">
      <x:c r="A49" s="136" t="str">
        <x:v>00043</x:v>
      </x:c>
      <x:c r="B49" s="198" t="str">
        <x:v>04.開発</x:v>
      </x:c>
      <x:c r="C49" s="56" t="str">
        <x:v>SilverLakehouse：テーブル・列追加</x:v>
      </x:c>
      <x:c r="D49" s="85" t="str">
        <x:v>開発担当（要確定）</x:v>
      </x:c>
      <x:c r="E49" s="56" t="str">
        <x:v>Japan Data Platform／Silver</x:v>
      </x:c>
      <x:c r="F49" s="143" t="str">
        <x:v>2.中</x:v>
      </x:c>
      <x:c r="G49" s="85" t="str">
        <x:v>00.未確認</x:v>
      </x:c>
      <x:c r="H49" s="150" t="str">
        <x:v>開発</x:v>
      </x:c>
      <x:c r="I49" s="56" t="str">
        <x:v>共通</x:v>
      </x:c>
      <x:c r="J49" s="157" t="str">
        <x:v>00039</x:v>
      </x:c>
      <x:c r="K49" s="157" t="str"/>
      <x:c r="L49" s="157" t="str"/>
      <x:c r="M49" s="143" t="n">
        <x:v>1</x:v>
      </x:c>
      <x:c r="N49" s="143" t="n">
        <x:v>3</x:v>
      </x:c>
      <x:c r="O49" s="163" t="n">
        <x:f>IF(OR('設定'!$B$4="",N49=0),"",MAX(WORKDAY.INTL('設定'!$B$4-1,M49,'設定'!$B$6,'設定'!$J$4:$J$53),IF(J49="",0,IF(COUNTIF($A$7:$A$48,J49)=1,IFERROR(IF(INDEX($P$7:$P$48,MATCH(J49,$A$7:$A$48,0),1)=0,0,WORKDAY.INTL(INDEX($P$7:$P$48,MATCH(J49,$A$7:$A$48,0),1),1,'設定'!$B$6,'設定'!$J$4:$J$53)),0),0)),IF(K49="",0,IF(COUNTIF($A$7:$A$48,K49)=1,IFERROR(IF(INDEX($P$7:$P$48,MATCH(K49,$A$7:$A$48,0),1)=0,0,WORKDAY.INTL(INDEX($P$7:$P$48,MATCH(K49,$A$7:$A$48,0),1),1,'設定'!$B$6,'設定'!$J$4:$J$53)),0),0)),IF(L49="",0,IF(COUNTIF($A$7:$A$48,L49)=1,IFERROR(IF(INDEX($P$7:$P$48,MATCH(L49,$A$7:$A$48,0),1)=0,0,WORKDAY.INTL(INDEX($P$7:$P$48,MATCH(L49,$A$7:$A$48,0),1),1,'設定'!$B$6,'設定'!$J$4:$J$53)),0),0))))</x:f>
        <x:v>46349</x:v>
      </x:c>
      <x:c r="P49" s="163" t="n">
        <x:f>IF(O49="","",WORKDAY.INTL(O49,N49-1,'設定'!$B$6,'設定'!$J$4:$J$53))</x:f>
        <x:v>46351</x:v>
      </x:c>
      <x:c r="Q49" s="169"/>
      <x:c r="R49" s="169"/>
      <x:c r="S49" s="143" t="n">
        <x:v>1</x:v>
      </x:c>
      <x:c r="T49" s="143" t="n">
        <x:v>0</x:v>
      </x:c>
      <x:c r="U49" s="175" t="n">
        <x:f>IFERROR(T49/S49,0)</x:f>
        <x:v>0</x:v>
      </x:c>
      <x:c r="V49" s="91" t="str">
        <x:f>IF(U49&gt;=1,IF(R49="","完了（実績日未確認）",IF(P49="","完了",IF(R49&gt;P49,"完了（遅延）","完了"))),IF(G49="04.保留","保留",IF(O49="","未計画",IF('設定'!$B$5&gt;P49,IF(G49="00.未確認","要確認（期限超過）","遅延"),IF('設定'!$B$5&gt;=O49,IF(G49="00.未確認","状況要確認",IF(Q49="","開始要確認","予定内")),"予定前")))))</x:f>
        <x:v>予定前</x:v>
      </x:c>
      <x:c r="W49" s="56" t="str">
        <x:v>39</x:v>
      </x:c>
      <x:c r="X49" s="56" t="str">
        <x:v>原資料展開</x:v>
      </x:c>
      <x:c r="Y49" s="56" t="str">
        <x:v>Silver追加テーブル・列定義</x:v>
      </x:c>
      <x:c r="Z49" s="56" t="str">
        <x:v>39テーブルはAs-Is同様の場合の暫定見込み。数量・所要日数を再見積り。</x:v>
      </x:c>
      <x:c r="AA49" s="181" t="str">
        <x:f>IF(AND(IF(J49="",TRUE,COUNTIF($A$7:$A$48,J49)=1),IF(K49="",TRUE,COUNTIF($A$7:$A$48,K49)=1),IF(L49="",TRUE,COUNTIF($A$7:$A$48,L49)=1),COUNTIF($A$7:$A$107,A49)=1,AND(M49&gt;=1,MOD(M49,1)=0,N49&gt;=0,MOD(N49,1)=0,S49&gt;0,T49&gt;=0,T49&lt;=S49),OR(R49="",AND(Q49&lt;&gt;"",R49&gt;=Q49)),IF(OR(G49="05.完了",G49="06.完了（資料記載）"),U49=1,TRUE),IF(N49=0,U49=1,TRUE)),"OK","要確認")</x:f>
        <x:v>OK</x:v>
      </x:c>
    </x:row>
    <x:row r="50" ht="54" customHeight="1">
      <x:c r="A50" s="135" t="str">
        <x:v>00044</x:v>
      </x:c>
      <x:c r="B50" s="198" t="str">
        <x:v>04.開発</x:v>
      </x:c>
      <x:c r="C50" s="48" t="str">
        <x:v>SilverNotebook：処理追加</x:v>
      </x:c>
      <x:c r="D50" s="85" t="str">
        <x:v>開発担当（要確定）</x:v>
      </x:c>
      <x:c r="E50" s="48" t="str">
        <x:v>Japan Data Platform／Notebook</x:v>
      </x:c>
      <x:c r="F50" s="143" t="str">
        <x:v>2.中</x:v>
      </x:c>
      <x:c r="G50" s="85" t="str">
        <x:v>00.未確認</x:v>
      </x:c>
      <x:c r="H50" s="149" t="str">
        <x:v>開発</x:v>
      </x:c>
      <x:c r="I50" s="48" t="str">
        <x:v>共通</x:v>
      </x:c>
      <x:c r="J50" s="157" t="str">
        <x:v>00042</x:v>
      </x:c>
      <x:c r="K50" s="157" t="str">
        <x:v>00043</x:v>
      </x:c>
      <x:c r="L50" s="157" t="str">
        <x:v>00036</x:v>
      </x:c>
      <x:c r="M50" s="143" t="n">
        <x:v>1</x:v>
      </x:c>
      <x:c r="N50" s="143" t="n">
        <x:v>4</x:v>
      </x:c>
      <x:c r="O50" s="163" t="n">
        <x:f>IF(OR('設定'!$B$4="",N50=0),"",MAX(WORKDAY.INTL('設定'!$B$4-1,M50,'設定'!$B$6,'設定'!$J$4:$J$53),IF(J50="",0,IF(COUNTIF($A$7:$A$49,J50)=1,IFERROR(IF(INDEX($P$7:$P$49,MATCH(J50,$A$7:$A$49,0),1)=0,0,WORKDAY.INTL(INDEX($P$7:$P$49,MATCH(J50,$A$7:$A$49,0),1),1,'設定'!$B$6,'設定'!$J$4:$J$53)),0),0)),IF(K50="",0,IF(COUNTIF($A$7:$A$49,K50)=1,IFERROR(IF(INDEX($P$7:$P$49,MATCH(K50,$A$7:$A$49,0),1)=0,0,WORKDAY.INTL(INDEX($P$7:$P$49,MATCH(K50,$A$7:$A$49,0),1),1,'設定'!$B$6,'設定'!$J$4:$J$53)),0),0)),IF(L50="",0,IF(COUNTIF($A$7:$A$49,L50)=1,IFERROR(IF(INDEX($P$7:$P$49,MATCH(L50,$A$7:$A$49,0),1)=0,0,WORKDAY.INTL(INDEX($P$7:$P$49,MATCH(L50,$A$7:$A$49,0),1),1,'設定'!$B$6,'設定'!$J$4:$J$53)),0),0))))</x:f>
        <x:v>46364</x:v>
      </x:c>
      <x:c r="P50" s="163" t="n">
        <x:f>IF(O50="","",WORKDAY.INTL(O50,N50-1,'設定'!$B$6,'設定'!$J$4:$J$53))</x:f>
        <x:v>46367</x:v>
      </x:c>
      <x:c r="Q50" s="169"/>
      <x:c r="R50" s="169"/>
      <x:c r="S50" s="143" t="n">
        <x:v>1</x:v>
      </x:c>
      <x:c r="T50" s="143" t="n">
        <x:v>0</x:v>
      </x:c>
      <x:c r="U50" s="175" t="n">
        <x:f>IFERROR(T50/S50,0)</x:f>
        <x:v>0</x:v>
      </x:c>
      <x:c r="V50" s="91" t="str">
        <x:f>IF(U50&gt;=1,IF(R50="","完了（実績日未確認）",IF(P50="","完了",IF(R50&gt;P50,"完了（遅延）","完了"))),IF(G50="04.保留","保留",IF(O50="","未計画",IF('設定'!$B$5&gt;P50,IF(G50="00.未確認","要確認（期限超過）","遅延"),IF('設定'!$B$5&gt;=O50,IF(G50="00.未確認","状況要確認",IF(Q50="","開始要確認","予定内")),"予定前")))))</x:f>
        <x:v>予定前</x:v>
      </x:c>
      <x:c r="W50" s="48" t="str">
        <x:v>40</x:v>
      </x:c>
      <x:c r="X50" s="48" t="str">
        <x:v>原資料展開</x:v>
      </x:c>
      <x:c r="Y50" s="48" t="str">
        <x:v>Silverの加工・整形・更新処理</x:v>
      </x:c>
      <x:c r="Z50" s="48" t="str"/>
      <x:c r="AA50" s="181" t="str">
        <x:f>IF(AND(IF(J50="",TRUE,COUNTIF($A$7:$A$49,J50)=1),IF(K50="",TRUE,COUNTIF($A$7:$A$49,K50)=1),IF(L50="",TRUE,COUNTIF($A$7:$A$49,L50)=1),COUNTIF($A$7:$A$107,A50)=1,AND(M50&gt;=1,MOD(M50,1)=0,N50&gt;=0,MOD(N50,1)=0,S50&gt;0,T50&gt;=0,T50&lt;=S50),OR(R50="",AND(Q50&lt;&gt;"",R50&gt;=Q50)),IF(OR(G50="05.完了",G50="06.完了（資料記載）"),U50=1,TRUE),IF(N50=0,U50=1,TRUE)),"OK","要確認")</x:f>
        <x:v>OK</x:v>
      </x:c>
    </x:row>
    <x:row r="51" ht="54" customHeight="1">
      <x:c r="A51" s="136" t="str">
        <x:v>00045</x:v>
      </x:c>
      <x:c r="B51" s="198" t="str">
        <x:v>04.開発</x:v>
      </x:c>
      <x:c r="C51" s="56" t="str">
        <x:v>SilverPipeline：処理変更</x:v>
      </x:c>
      <x:c r="D51" s="85" t="str">
        <x:v>開発担当（要確定）</x:v>
      </x:c>
      <x:c r="E51" s="56" t="str">
        <x:v>Japan Data Platform／Pipeline</x:v>
      </x:c>
      <x:c r="F51" s="143" t="str">
        <x:v>2.中</x:v>
      </x:c>
      <x:c r="G51" s="85" t="str">
        <x:v>00.未確認</x:v>
      </x:c>
      <x:c r="H51" s="150" t="str">
        <x:v>開発</x:v>
      </x:c>
      <x:c r="I51" s="56" t="str">
        <x:v>共通</x:v>
      </x:c>
      <x:c r="J51" s="157" t="str">
        <x:v>00044</x:v>
      </x:c>
      <x:c r="K51" s="157" t="str"/>
      <x:c r="L51" s="157" t="str"/>
      <x:c r="M51" s="143" t="n">
        <x:v>1</x:v>
      </x:c>
      <x:c r="N51" s="143" t="n">
        <x:v>2</x:v>
      </x:c>
      <x:c r="O51" s="163" t="n">
        <x:f>IF(OR('設定'!$B$4="",N51=0),"",MAX(WORKDAY.INTL('設定'!$B$4-1,M51,'設定'!$B$6,'設定'!$J$4:$J$53),IF(J51="",0,IF(COUNTIF($A$7:$A$50,J51)=1,IFERROR(IF(INDEX($P$7:$P$50,MATCH(J51,$A$7:$A$50,0),1)=0,0,WORKDAY.INTL(INDEX($P$7:$P$50,MATCH(J51,$A$7:$A$50,0),1),1,'設定'!$B$6,'設定'!$J$4:$J$53)),0),0)),IF(K51="",0,IF(COUNTIF($A$7:$A$50,K51)=1,IFERROR(IF(INDEX($P$7:$P$50,MATCH(K51,$A$7:$A$50,0),1)=0,0,WORKDAY.INTL(INDEX($P$7:$P$50,MATCH(K51,$A$7:$A$50,0),1),1,'設定'!$B$6,'設定'!$J$4:$J$53)),0),0)),IF(L51="",0,IF(COUNTIF($A$7:$A$50,L51)=1,IFERROR(IF(INDEX($P$7:$P$50,MATCH(L51,$A$7:$A$50,0),1)=0,0,WORKDAY.INTL(INDEX($P$7:$P$50,MATCH(L51,$A$7:$A$50,0),1),1,'設定'!$B$6,'設定'!$J$4:$J$53)),0),0))))</x:f>
        <x:v>46370</x:v>
      </x:c>
      <x:c r="P51" s="163" t="n">
        <x:f>IF(O51="","",WORKDAY.INTL(O51,N51-1,'設定'!$B$6,'設定'!$J$4:$J$53))</x:f>
        <x:v>46371</x:v>
      </x:c>
      <x:c r="Q51" s="169"/>
      <x:c r="R51" s="169"/>
      <x:c r="S51" s="143" t="n">
        <x:v>1</x:v>
      </x:c>
      <x:c r="T51" s="143" t="n">
        <x:v>0</x:v>
      </x:c>
      <x:c r="U51" s="175" t="n">
        <x:f>IFERROR(T51/S51,0)</x:f>
        <x:v>0</x:v>
      </x:c>
      <x:c r="V51" s="91" t="str">
        <x:f>IF(U51&gt;=1,IF(R51="","完了（実績日未確認）",IF(P51="","完了",IF(R51&gt;P51,"完了（遅延）","完了"))),IF(G51="04.保留","保留",IF(O51="","未計画",IF('設定'!$B$5&gt;P51,IF(G51="00.未確認","要確認（期限超過）","遅延"),IF('設定'!$B$5&gt;=O51,IF(G51="00.未確認","状況要確認",IF(Q51="","開始要確認","予定内")),"予定前")))))</x:f>
        <x:v>予定前</x:v>
      </x:c>
      <x:c r="W51" s="56" t="str">
        <x:v>38</x:v>
      </x:c>
      <x:c r="X51" s="56" t="str">
        <x:v>原資料展開</x:v>
      </x:c>
      <x:c r="Y51" s="56" t="str">
        <x:v>Silver実行順・エラー制御の変更</x:v>
      </x:c>
      <x:c r="Z51" s="56" t="str"/>
      <x:c r="AA51" s="181" t="str">
        <x:f>IF(AND(IF(J51="",TRUE,COUNTIF($A$7:$A$50,J51)=1),IF(K51="",TRUE,COUNTIF($A$7:$A$50,K51)=1),IF(L51="",TRUE,COUNTIF($A$7:$A$50,L51)=1),COUNTIF($A$7:$A$107,A51)=1,AND(M51&gt;=1,MOD(M51,1)=0,N51&gt;=0,MOD(N51,1)=0,S51&gt;0,T51&gt;=0,T51&lt;=S51),OR(R51="",AND(Q51&lt;&gt;"",R51&gt;=Q51)),IF(OR(G51="05.完了",G51="06.完了（資料記載）"),U51=1,TRUE),IF(N51=0,U51=1,TRUE)),"OK","要確認")</x:f>
        <x:v>OK</x:v>
      </x:c>
    </x:row>
    <x:row r="52" ht="54" customHeight="1">
      <x:c r="A52" s="135" t="str">
        <x:v>00046</x:v>
      </x:c>
      <x:c r="B52" s="198" t="str">
        <x:v>04.開発</x:v>
      </x:c>
      <x:c r="C52" s="48" t="str">
        <x:v>GoldLakehouse：取得先・参照データの構築</x:v>
      </x:c>
      <x:c r="D52" s="85" t="str">
        <x:v>開発担当（要確定）</x:v>
      </x:c>
      <x:c r="E52" s="48" t="str">
        <x:v>Fabric</x:v>
      </x:c>
      <x:c r="F52" s="143" t="str">
        <x:v>2.中</x:v>
      </x:c>
      <x:c r="G52" s="85" t="str">
        <x:v>00.未確認</x:v>
      </x:c>
      <x:c r="H52" s="149" t="str">
        <x:v>開発</x:v>
      </x:c>
      <x:c r="I52" s="48" t="str">
        <x:v>共通</x:v>
      </x:c>
      <x:c r="J52" s="157" t="str">
        <x:v>00045</x:v>
      </x:c>
      <x:c r="K52" s="157" t="str"/>
      <x:c r="L52" s="157" t="str"/>
      <x:c r="M52" s="143" t="n">
        <x:v>1</x:v>
      </x:c>
      <x:c r="N52" s="143" t="n">
        <x:v>2</x:v>
      </x:c>
      <x:c r="O52" s="163" t="n">
        <x:f>IF(OR('設定'!$B$4="",N52=0),"",MAX(WORKDAY.INTL('設定'!$B$4-1,M52,'設定'!$B$6,'設定'!$J$4:$J$53),IF(J52="",0,IF(COUNTIF($A$7:$A$51,J52)=1,IFERROR(IF(INDEX($P$7:$P$51,MATCH(J52,$A$7:$A$51,0),1)=0,0,WORKDAY.INTL(INDEX($P$7:$P$51,MATCH(J52,$A$7:$A$51,0),1),1,'設定'!$B$6,'設定'!$J$4:$J$53)),0),0)),IF(K52="",0,IF(COUNTIF($A$7:$A$51,K52)=1,IFERROR(IF(INDEX($P$7:$P$51,MATCH(K52,$A$7:$A$51,0),1)=0,0,WORKDAY.INTL(INDEX($P$7:$P$51,MATCH(K52,$A$7:$A$51,0),1),1,'設定'!$B$6,'設定'!$J$4:$J$53)),0),0)),IF(L52="",0,IF(COUNTIF($A$7:$A$51,L52)=1,IFERROR(IF(INDEX($P$7:$P$51,MATCH(L52,$A$7:$A$51,0),1)=0,0,WORKDAY.INTL(INDEX($P$7:$P$51,MATCH(L52,$A$7:$A$51,0),1),1,'設定'!$B$6,'設定'!$J$4:$J$53)),0),0))))</x:f>
        <x:v>46372</x:v>
      </x:c>
      <x:c r="P52" s="163" t="n">
        <x:f>IF(O52="","",WORKDAY.INTL(O52,N52-1,'設定'!$B$6,'設定'!$J$4:$J$53))</x:f>
        <x:v>46373</x:v>
      </x:c>
      <x:c r="Q52" s="169"/>
      <x:c r="R52" s="169"/>
      <x:c r="S52" s="143" t="n">
        <x:v>1</x:v>
      </x:c>
      <x:c r="T52" s="143" t="n">
        <x:v>0</x:v>
      </x:c>
      <x:c r="U52" s="175" t="n">
        <x:f>IFERROR(T52/S52,0)</x:f>
        <x:v>0</x:v>
      </x:c>
      <x:c r="V52" s="91" t="str">
        <x:f>IF(U52&gt;=1,IF(R52="","完了（実績日未確認）",IF(P52="","完了",IF(R52&gt;P52,"完了（遅延）","完了"))),IF(G52="04.保留","保留",IF(O52="","未計画",IF('設定'!$B$5&gt;P52,IF(G52="00.未確認","要確認（期限超過）","遅延"),IF('設定'!$B$5&gt;=O52,IF(G52="00.未確認","状況要確認",IF(Q52="","開始要確認","予定内")),"予定前")))))</x:f>
        <x:v>予定前</x:v>
      </x:c>
      <x:c r="W52" s="48" t="str">
        <x:v>42</x:v>
      </x:c>
      <x:c r="X52" s="48" t="str">
        <x:v>原資料展開</x:v>
      </x:c>
      <x:c r="Y52" s="48" t="str">
        <x:v>OneForce・Redshift・SharePointの取得／参照構成</x:v>
      </x:c>
      <x:c r="Z52" s="48" t="str">
        <x:v>Lakehouseは1～2件の見込み。数量・配置は要確定。</x:v>
      </x:c>
      <x:c r="AA52" s="181" t="str">
        <x:f>IF(AND(IF(J52="",TRUE,COUNTIF($A$7:$A$51,J52)=1),IF(K52="",TRUE,COUNTIF($A$7:$A$51,K52)=1),IF(L52="",TRUE,COUNTIF($A$7:$A$51,L52)=1),COUNTIF($A$7:$A$107,A52)=1,AND(M52&gt;=1,MOD(M52,1)=0,N52&gt;=0,MOD(N52,1)=0,S52&gt;0,T52&gt;=0,T52&lt;=S52),OR(R52="",AND(Q52&lt;&gt;"",R52&gt;=Q52)),IF(OR(G52="05.完了",G52="06.完了（資料記載）"),U52=1,TRUE),IF(N52=0,U52=1,TRUE)),"OK","要確認")</x:f>
        <x:v>OK</x:v>
      </x:c>
    </x:row>
    <x:row r="53" ht="54" customHeight="1">
      <x:c r="A53" s="136" t="str">
        <x:v>00047</x:v>
      </x:c>
      <x:c r="B53" s="198" t="str">
        <x:v>04.開発</x:v>
      </x:c>
      <x:c r="C53" s="56" t="str">
        <x:v>GoldWarehouse／SQL endpoint：共通Function作成</x:v>
      </x:c>
      <x:c r="D53" s="85" t="str">
        <x:v>SQL開発担当（要確定）</x:v>
      </x:c>
      <x:c r="E53" s="56" t="str">
        <x:v>Fabric</x:v>
      </x:c>
      <x:c r="F53" s="143" t="str">
        <x:v>2.中</x:v>
      </x:c>
      <x:c r="G53" s="85" t="str">
        <x:v>00.未確認</x:v>
      </x:c>
      <x:c r="H53" s="150" t="str">
        <x:v>開発</x:v>
      </x:c>
      <x:c r="I53" s="56" t="str">
        <x:v>共通</x:v>
      </x:c>
      <x:c r="J53" s="157" t="str">
        <x:v>00029</x:v>
      </x:c>
      <x:c r="K53" s="157" t="str">
        <x:v>00031</x:v>
      </x:c>
      <x:c r="L53" s="157" t="str">
        <x:v>00046</x:v>
      </x:c>
      <x:c r="M53" s="143" t="n">
        <x:v>1</x:v>
      </x:c>
      <x:c r="N53" s="143" t="n">
        <x:v>3</x:v>
      </x:c>
      <x:c r="O53" s="163" t="n">
        <x:f>IF(OR('設定'!$B$4="",N53=0),"",MAX(WORKDAY.INTL('設定'!$B$4-1,M53,'設定'!$B$6,'設定'!$J$4:$J$53),IF(J53="",0,IF(COUNTIF($A$7:$A$52,J53)=1,IFERROR(IF(INDEX($P$7:$P$52,MATCH(J53,$A$7:$A$52,0),1)=0,0,WORKDAY.INTL(INDEX($P$7:$P$52,MATCH(J53,$A$7:$A$52,0),1),1,'設定'!$B$6,'設定'!$J$4:$J$53)),0),0)),IF(K53="",0,IF(COUNTIF($A$7:$A$52,K53)=1,IFERROR(IF(INDEX($P$7:$P$52,MATCH(K53,$A$7:$A$52,0),1)=0,0,WORKDAY.INTL(INDEX($P$7:$P$52,MATCH(K53,$A$7:$A$52,0),1),1,'設定'!$B$6,'設定'!$J$4:$J$53)),0),0)),IF(L53="",0,IF(COUNTIF($A$7:$A$52,L53)=1,IFERROR(IF(INDEX($P$7:$P$52,MATCH(L53,$A$7:$A$52,0),1)=0,0,WORKDAY.INTL(INDEX($P$7:$P$52,MATCH(L53,$A$7:$A$52,0),1),1,'設定'!$B$6,'設定'!$J$4:$J$53)),0),0))))</x:f>
        <x:v>46374</x:v>
      </x:c>
      <x:c r="P53" s="163" t="n">
        <x:f>IF(O53="","",WORKDAY.INTL(O53,N53-1,'設定'!$B$6,'設定'!$J$4:$J$53))</x:f>
        <x:v>46378</x:v>
      </x:c>
      <x:c r="Q53" s="169"/>
      <x:c r="R53" s="169"/>
      <x:c r="S53" s="143" t="n">
        <x:v>1</x:v>
      </x:c>
      <x:c r="T53" s="143" t="n">
        <x:v>0</x:v>
      </x:c>
      <x:c r="U53" s="175" t="n">
        <x:f>IFERROR(T53/S53,0)</x:f>
        <x:v>0</x:v>
      </x:c>
      <x:c r="V53" s="91" t="str">
        <x:f>IF(U53&gt;=1,IF(R53="","完了（実績日未確認）",IF(P53="","完了",IF(R53&gt;P53,"完了（遅延）","完了"))),IF(G53="04.保留","保留",IF(O53="","未計画",IF('設定'!$B$5&gt;P53,IF(G53="00.未確認","要確認（期限超過）","遅延"),IF('設定'!$B$5&gt;=O53,IF(G53="00.未確認","状況要確認",IF(Q53="","開始要確認","予定内")),"予定前")))))</x:f>
        <x:v>予定前</x:v>
      </x:c>
      <x:c r="W53" s="56" t="str">
        <x:v>43</x:v>
      </x:c>
      <x:c r="X53" s="56" t="str">
        <x:v>原資料展開</x:v>
      </x:c>
      <x:c r="Y53" s="56" t="str">
        <x:v>事前検証で採用した実行先へのSQL共通関数実装</x:v>
      </x:c>
      <x:c r="Z53" s="56" t="str">
        <x:v>事前検証担当と本実装担当は別途確定する。</x:v>
      </x:c>
      <x:c r="AA53" s="181" t="str">
        <x:f>IF(AND(IF(J53="",TRUE,COUNTIF($A$7:$A$52,J53)=1),IF(K53="",TRUE,COUNTIF($A$7:$A$52,K53)=1),IF(L53="",TRUE,COUNTIF($A$7:$A$52,L53)=1),COUNTIF($A$7:$A$107,A53)=1,AND(M53&gt;=1,MOD(M53,1)=0,N53&gt;=0,MOD(N53,1)=0,S53&gt;0,T53&gt;=0,T53&lt;=S53),OR(R53="",AND(Q53&lt;&gt;"",R53&gt;=Q53)),IF(OR(G53="05.完了",G53="06.完了（資料記載）"),U53=1,TRUE),IF(N53=0,U53=1,TRUE)),"OK","要確認")</x:f>
        <x:v>OK</x:v>
      </x:c>
    </x:row>
    <x:row r="54" ht="54" customHeight="1">
      <x:c r="A54" s="135" t="str">
        <x:v>00048</x:v>
      </x:c>
      <x:c r="B54" s="198" t="str">
        <x:v>04.開発</x:v>
      </x:c>
      <x:c r="C54" s="48" t="str">
        <x:v>Notebook：共通処理1件の作成</x:v>
      </x:c>
      <x:c r="D54" s="85" t="str">
        <x:v>開発担当（要確定）</x:v>
      </x:c>
      <x:c r="E54" s="48" t="str">
        <x:v>Fabric Notebook</x:v>
      </x:c>
      <x:c r="F54" s="143" t="str">
        <x:v>2.中</x:v>
      </x:c>
      <x:c r="G54" s="85" t="str">
        <x:v>00.未確認</x:v>
      </x:c>
      <x:c r="H54" s="149" t="str">
        <x:v>開発</x:v>
      </x:c>
      <x:c r="I54" s="48" t="str">
        <x:v>共通</x:v>
      </x:c>
      <x:c r="J54" s="157" t="str">
        <x:v>00030</x:v>
      </x:c>
      <x:c r="K54" s="157" t="str">
        <x:v>00031</x:v>
      </x:c>
      <x:c r="L54" s="157" t="str">
        <x:v>00046</x:v>
      </x:c>
      <x:c r="M54" s="143" t="n">
        <x:v>1</x:v>
      </x:c>
      <x:c r="N54" s="143" t="n">
        <x:v>3</x:v>
      </x:c>
      <x:c r="O54" s="163" t="n">
        <x:f>IF(OR('設定'!$B$4="",N54=0),"",MAX(WORKDAY.INTL('設定'!$B$4-1,M54,'設定'!$B$6,'設定'!$J$4:$J$53),IF(J54="",0,IF(COUNTIF($A$7:$A$53,J54)=1,IFERROR(IF(INDEX($P$7:$P$53,MATCH(J54,$A$7:$A$53,0),1)=0,0,WORKDAY.INTL(INDEX($P$7:$P$53,MATCH(J54,$A$7:$A$53,0),1),1,'設定'!$B$6,'設定'!$J$4:$J$53)),0),0)),IF(K54="",0,IF(COUNTIF($A$7:$A$53,K54)=1,IFERROR(IF(INDEX($P$7:$P$53,MATCH(K54,$A$7:$A$53,0),1)=0,0,WORKDAY.INTL(INDEX($P$7:$P$53,MATCH(K54,$A$7:$A$53,0),1),1,'設定'!$B$6,'設定'!$J$4:$J$53)),0),0)),IF(L54="",0,IF(COUNTIF($A$7:$A$53,L54)=1,IFERROR(IF(INDEX($P$7:$P$53,MATCH(L54,$A$7:$A$53,0),1)=0,0,WORKDAY.INTL(INDEX($P$7:$P$53,MATCH(L54,$A$7:$A$53,0),1),1,'設定'!$B$6,'設定'!$J$4:$J$53)),0),0))))</x:f>
        <x:v>46374</x:v>
      </x:c>
      <x:c r="P54" s="163" t="n">
        <x:f>IF(O54="","",WORKDAY.INTL(O54,N54-1,'設定'!$B$6,'設定'!$J$4:$J$53))</x:f>
        <x:v>46378</x:v>
      </x:c>
      <x:c r="Q54" s="169"/>
      <x:c r="R54" s="169"/>
      <x:c r="S54" s="143" t="n">
        <x:v>1</x:v>
      </x:c>
      <x:c r="T54" s="143" t="n">
        <x:v>0</x:v>
      </x:c>
      <x:c r="U54" s="175" t="n">
        <x:f>IFERROR(T54/S54,0)</x:f>
        <x:v>0</x:v>
      </x:c>
      <x:c r="V54" s="91" t="str">
        <x:f>IF(U54&gt;=1,IF(R54="","完了（実績日未確認）",IF(P54="","完了",IF(R54&gt;P54,"完了（遅延）","完了"))),IF(G54="04.保留","保留",IF(O54="","未計画",IF('設定'!$B$5&gt;P54,IF(G54="00.未確認","要確認（期限超過）","遅延"),IF('設定'!$B$5&gt;=O54,IF(G54="00.未確認","状況要確認",IF(Q54="","開始要確認","予定内")),"予定前")))))</x:f>
        <x:v>予定前</x:v>
      </x:c>
      <x:c r="W54" s="48" t="str">
        <x:v>47</x:v>
      </x:c>
      <x:c r="X54" s="48" t="str">
        <x:v>原資料展開</x:v>
      </x:c>
      <x:c r="Y54" s="48" t="str">
        <x:v>再利用する共通関数Notebookと呼出しインターフェース</x:v>
      </x:c>
      <x:c r="Z54" s="48" t="str"/>
      <x:c r="AA54" s="181" t="str">
        <x:f>IF(AND(IF(J54="",TRUE,COUNTIF($A$7:$A$53,J54)=1),IF(K54="",TRUE,COUNTIF($A$7:$A$53,K54)=1),IF(L54="",TRUE,COUNTIF($A$7:$A$53,L54)=1),COUNTIF($A$7:$A$107,A54)=1,AND(M54&gt;=1,MOD(M54,1)=0,N54&gt;=0,MOD(N54,1)=0,S54&gt;0,T54&gt;=0,T54&lt;=S54),OR(R54="",AND(Q54&lt;&gt;"",R54&gt;=Q54)),IF(OR(G54="05.完了",G54="06.完了（資料記載）"),U54=1,TRUE),IF(N54=0,U54=1,TRUE)),"OK","要確認")</x:f>
        <x:v>OK</x:v>
      </x:c>
    </x:row>
    <x:row r="55" ht="54" customHeight="1">
      <x:c r="A55" s="136" t="str">
        <x:v>00049</x:v>
      </x:c>
      <x:c r="B55" s="198" t="str">
        <x:v>04.開発</x:v>
      </x:c>
      <x:c r="C55" s="56" t="str">
        <x:v>Notebook：差分更新用1件の作成</x:v>
      </x:c>
      <x:c r="D55" s="85" t="str">
        <x:v>開発担当（要確定）</x:v>
      </x:c>
      <x:c r="E55" s="56" t="str">
        <x:v>Fabric Notebook</x:v>
      </x:c>
      <x:c r="F55" s="143" t="str">
        <x:v>2.中</x:v>
      </x:c>
      <x:c r="G55" s="85" t="str">
        <x:v>00.未確認</x:v>
      </x:c>
      <x:c r="H55" s="150" t="str">
        <x:v>開発</x:v>
      </x:c>
      <x:c r="I55" s="56" t="str">
        <x:v>共通</x:v>
      </x:c>
      <x:c r="J55" s="157" t="str">
        <x:v>00048</x:v>
      </x:c>
      <x:c r="K55" s="157" t="str">
        <x:v>00031</x:v>
      </x:c>
      <x:c r="L55" s="157" t="str">
        <x:v>00036</x:v>
      </x:c>
      <x:c r="M55" s="143" t="n">
        <x:v>1</x:v>
      </x:c>
      <x:c r="N55" s="143" t="n">
        <x:v>4</x:v>
      </x:c>
      <x:c r="O55" s="163" t="n">
        <x:f>IF(OR('設定'!$B$4="",N55=0),"",MAX(WORKDAY.INTL('設定'!$B$4-1,M55,'設定'!$B$6,'設定'!$J$4:$J$53),IF(J55="",0,IF(COUNTIF($A$7:$A$54,J55)=1,IFERROR(IF(INDEX($P$7:$P$54,MATCH(J55,$A$7:$A$54,0),1)=0,0,WORKDAY.INTL(INDEX($P$7:$P$54,MATCH(J55,$A$7:$A$54,0),1),1,'設定'!$B$6,'設定'!$J$4:$J$53)),0),0)),IF(K55="",0,IF(COUNTIF($A$7:$A$54,K55)=1,IFERROR(IF(INDEX($P$7:$P$54,MATCH(K55,$A$7:$A$54,0),1)=0,0,WORKDAY.INTL(INDEX($P$7:$P$54,MATCH(K55,$A$7:$A$54,0),1),1,'設定'!$B$6,'設定'!$J$4:$J$53)),0),0)),IF(L55="",0,IF(COUNTIF($A$7:$A$54,L55)=1,IFERROR(IF(INDEX($P$7:$P$54,MATCH(L55,$A$7:$A$54,0),1)=0,0,WORKDAY.INTL(INDEX($P$7:$P$54,MATCH(L55,$A$7:$A$54,0),1),1,'設定'!$B$6,'設定'!$J$4:$J$53)),0),0))))</x:f>
        <x:v>46379</x:v>
      </x:c>
      <x:c r="P55" s="163" t="n">
        <x:f>IF(O55="","",WORKDAY.INTL(O55,N55-1,'設定'!$B$6,'設定'!$J$4:$J$53))</x:f>
        <x:v>46384</x:v>
      </x:c>
      <x:c r="Q55" s="169"/>
      <x:c r="R55" s="169"/>
      <x:c r="S55" s="143" t="n">
        <x:v>1</x:v>
      </x:c>
      <x:c r="T55" s="143" t="n">
        <x:v>0</x:v>
      </x:c>
      <x:c r="U55" s="175" t="n">
        <x:f>IFERROR(T55/S55,0)</x:f>
        <x:v>0</x:v>
      </x:c>
      <x:c r="V55" s="91" t="str">
        <x:f>IF(U55&gt;=1,IF(R55="","完了（実績日未確認）",IF(P55="","完了",IF(R55&gt;P55,"完了（遅延）","完了"))),IF(G55="04.保留","保留",IF(O55="","未計画",IF('設定'!$B$5&gt;P55,IF(G55="00.未確認","要確認（期限超過）","遅延"),IF('設定'!$B$5&gt;=O55,IF(G55="00.未確認","状況要確認",IF(Q55="","開始要確認","予定内")),"予定前")))))</x:f>
        <x:v>予定前</x:v>
      </x:c>
      <x:c r="W55" s="56" t="str">
        <x:v>46</x:v>
      </x:c>
      <x:c r="X55" s="56" t="str">
        <x:v>原資料展開</x:v>
      </x:c>
      <x:c r="Y55" s="56" t="str">
        <x:v>差分抽出・Watermark連動・更新処理</x:v>
      </x:c>
      <x:c r="Z55" s="56" t="str"/>
      <x:c r="AA55" s="181" t="str">
        <x:f>IF(AND(IF(J55="",TRUE,COUNTIF($A$7:$A$54,J55)=1),IF(K55="",TRUE,COUNTIF($A$7:$A$54,K55)=1),IF(L55="",TRUE,COUNTIF($A$7:$A$54,L55)=1),COUNTIF($A$7:$A$107,A55)=1,AND(M55&gt;=1,MOD(M55,1)=0,N55&gt;=0,MOD(N55,1)=0,S55&gt;0,T55&gt;=0,T55&lt;=S55),OR(R55="",AND(Q55&lt;&gt;"",R55&gt;=Q55)),IF(OR(G55="05.完了",G55="06.完了（資料記載）"),U55=1,TRUE),IF(N55=0,U55=1,TRUE)),"OK","要確認")</x:f>
        <x:v>OK</x:v>
      </x:c>
    </x:row>
    <x:row r="56" ht="54" customHeight="1">
      <x:c r="A56" s="135" t="str">
        <x:v>00050</x:v>
      </x:c>
      <x:c r="B56" s="198" t="str">
        <x:v>04.開発</x:v>
      </x:c>
      <x:c r="C56" s="48" t="str">
        <x:v>GoldWarehouse／SQL endpoint：出力向けView作成</x:v>
      </x:c>
      <x:c r="D56" s="85" t="str">
        <x:v>SQL開発担当（要確定）</x:v>
      </x:c>
      <x:c r="E56" s="48" t="str">
        <x:v>Fabric</x:v>
      </x:c>
      <x:c r="F56" s="143" t="str">
        <x:v>2.中</x:v>
      </x:c>
      <x:c r="G56" s="85" t="str">
        <x:v>00.未確認</x:v>
      </x:c>
      <x:c r="H56" s="149" t="str">
        <x:v>開発</x:v>
      </x:c>
      <x:c r="I56" s="48" t="str">
        <x:v>共通</x:v>
      </x:c>
      <x:c r="J56" s="157" t="str">
        <x:v>00047</x:v>
      </x:c>
      <x:c r="K56" s="157" t="str">
        <x:v>00046</x:v>
      </x:c>
      <x:c r="L56" s="157" t="str">
        <x:v>00036</x:v>
      </x:c>
      <x:c r="M56" s="143" t="n">
        <x:v>1</x:v>
      </x:c>
      <x:c r="N56" s="143" t="n">
        <x:v>3</x:v>
      </x:c>
      <x:c r="O56" s="163" t="n">
        <x:f>IF(OR('設定'!$B$4="",N56=0),"",MAX(WORKDAY.INTL('設定'!$B$4-1,M56,'設定'!$B$6,'設定'!$J$4:$J$53),IF(J56="",0,IF(COUNTIF($A$7:$A$55,J56)=1,IFERROR(IF(INDEX($P$7:$P$55,MATCH(J56,$A$7:$A$55,0),1)=0,0,WORKDAY.INTL(INDEX($P$7:$P$55,MATCH(J56,$A$7:$A$55,0),1),1,'設定'!$B$6,'設定'!$J$4:$J$53)),0),0)),IF(K56="",0,IF(COUNTIF($A$7:$A$55,K56)=1,IFERROR(IF(INDEX($P$7:$P$55,MATCH(K56,$A$7:$A$55,0),1)=0,0,WORKDAY.INTL(INDEX($P$7:$P$55,MATCH(K56,$A$7:$A$55,0),1),1,'設定'!$B$6,'設定'!$J$4:$J$53)),0),0)),IF(L56="",0,IF(COUNTIF($A$7:$A$55,L56)=1,IFERROR(IF(INDEX($P$7:$P$55,MATCH(L56,$A$7:$A$55,0),1)=0,0,WORKDAY.INTL(INDEX($P$7:$P$55,MATCH(L56,$A$7:$A$55,0),1),1,'設定'!$B$6,'設定'!$J$4:$J$53)),0),0))))</x:f>
        <x:v>46379</x:v>
      </x:c>
      <x:c r="P56" s="163" t="n">
        <x:f>IF(O56="","",WORKDAY.INTL(O56,N56-1,'設定'!$B$6,'設定'!$J$4:$J$53))</x:f>
        <x:v>46381</x:v>
      </x:c>
      <x:c r="Q56" s="169"/>
      <x:c r="R56" s="169"/>
      <x:c r="S56" s="143" t="n">
        <x:v>1</x:v>
      </x:c>
      <x:c r="T56" s="143" t="n">
        <x:v>0</x:v>
      </x:c>
      <x:c r="U56" s="175" t="n">
        <x:f>IFERROR(T56/S56,0)</x:f>
        <x:v>0</x:v>
      </x:c>
      <x:c r="V56" s="91" t="str">
        <x:f>IF(U56&gt;=1,IF(R56="","完了（実績日未確認）",IF(P56="","完了",IF(R56&gt;P56,"完了（遅延）","完了"))),IF(G56="04.保留","保留",IF(O56="","未計画",IF('設定'!$B$5&gt;P56,IF(G56="00.未確認","要確認（期限超過）","遅延"),IF('設定'!$B$5&gt;=O56,IF(G56="00.未確認","状況要確認",IF(Q56="","開始要確認","予定内")),"予定前")))))</x:f>
        <x:v>予定前</x:v>
      </x:c>
      <x:c r="W56" s="48" t="str">
        <x:v>44</x:v>
      </x:c>
      <x:c r="X56" s="48" t="str">
        <x:v>原資料展開</x:v>
      </x:c>
      <x:c r="Y56" s="48" t="str">
        <x:v>設計に対応するView一式</x:v>
      </x:c>
      <x:c r="Z56" s="48" t="str">
        <x:v>Viewの件数は未提示のため1式で管理。</x:v>
      </x:c>
      <x:c r="AA56" s="181" t="str">
        <x:f>IF(AND(IF(J56="",TRUE,COUNTIF($A$7:$A$55,J56)=1),IF(K56="",TRUE,COUNTIF($A$7:$A$55,K56)=1),IF(L56="",TRUE,COUNTIF($A$7:$A$55,L56)=1),COUNTIF($A$7:$A$107,A56)=1,AND(M56&gt;=1,MOD(M56,1)=0,N56&gt;=0,MOD(N56,1)=0,S56&gt;0,T56&gt;=0,T56&lt;=S56),OR(R56="",AND(Q56&lt;&gt;"",R56&gt;=Q56)),IF(OR(G56="05.完了",G56="06.完了（資料記載）"),U56=1,TRUE),IF(N56=0,U56=1,TRUE)),"OK","要確認")</x:f>
        <x:v>OK</x:v>
      </x:c>
    </x:row>
    <x:row r="57" ht="54" customHeight="1">
      <x:c r="A57" s="136" t="str">
        <x:v>00051</x:v>
      </x:c>
      <x:c r="B57" s="198" t="str">
        <x:v>04.開発</x:v>
      </x:c>
      <x:c r="C57" s="56" t="str">
        <x:v>Product：加工Notebook作成</x:v>
      </x:c>
      <x:c r="D57" s="85" t="str">
        <x:v>開発担当（要確定）</x:v>
      </x:c>
      <x:c r="E57" s="56" t="str">
        <x:v>Fabric Notebook</x:v>
      </x:c>
      <x:c r="F57" s="143" t="str">
        <x:v>2.中</x:v>
      </x:c>
      <x:c r="G57" s="85" t="str">
        <x:v>00.未確認</x:v>
      </x:c>
      <x:c r="H57" s="150" t="str">
        <x:v>開発</x:v>
      </x:c>
      <x:c r="I57" s="56" t="str">
        <x:v>Product</x:v>
      </x:c>
      <x:c r="J57" s="157" t="str">
        <x:v>00050</x:v>
      </x:c>
      <x:c r="K57" s="157" t="str">
        <x:v>00048</x:v>
      </x:c>
      <x:c r="L57" s="157" t="str">
        <x:v>00032</x:v>
      </x:c>
      <x:c r="M57" s="143" t="n">
        <x:v>1</x:v>
      </x:c>
      <x:c r="N57" s="143" t="n">
        <x:v>5</x:v>
      </x:c>
      <x:c r="O57" s="163" t="n">
        <x:f>IF(OR('設定'!$B$4="",N57=0),"",MAX(WORKDAY.INTL('設定'!$B$4-1,M57,'設定'!$B$6,'設定'!$J$4:$J$53),IF(J57="",0,IF(COUNTIF($A$7:$A$56,J57)=1,IFERROR(IF(INDEX($P$7:$P$56,MATCH(J57,$A$7:$A$56,0),1)=0,0,WORKDAY.INTL(INDEX($P$7:$P$56,MATCH(J57,$A$7:$A$56,0),1),1,'設定'!$B$6,'設定'!$J$4:$J$53)),0),0)),IF(K57="",0,IF(COUNTIF($A$7:$A$56,K57)=1,IFERROR(IF(INDEX($P$7:$P$56,MATCH(K57,$A$7:$A$56,0),1)=0,0,WORKDAY.INTL(INDEX($P$7:$P$56,MATCH(K57,$A$7:$A$56,0),1),1,'設定'!$B$6,'設定'!$J$4:$J$53)),0),0)),IF(L57="",0,IF(COUNTIF($A$7:$A$56,L57)=1,IFERROR(IF(INDEX($P$7:$P$56,MATCH(L57,$A$7:$A$56,0),1)=0,0,WORKDAY.INTL(INDEX($P$7:$P$56,MATCH(L57,$A$7:$A$56,0),1),1,'設定'!$B$6,'設定'!$J$4:$J$53)),0),0))))</x:f>
        <x:v>46384</x:v>
      </x:c>
      <x:c r="P57" s="163" t="n">
        <x:f>IF(O57="","",WORKDAY.INTL(O57,N57-1,'設定'!$B$6,'設定'!$J$4:$J$53))</x:f>
        <x:v>46388</x:v>
      </x:c>
      <x:c r="Q57" s="169"/>
      <x:c r="R57" s="169"/>
      <x:c r="S57" s="143" t="n">
        <x:v>1</x:v>
      </x:c>
      <x:c r="T57" s="143" t="n">
        <x:v>0</x:v>
      </x:c>
      <x:c r="U57" s="175" t="n">
        <x:f>IFERROR(T57/S57,0)</x:f>
        <x:v>0</x:v>
      </x:c>
      <x:c r="V57" s="91" t="str">
        <x:f>IF(U57&gt;=1,IF(R57="","完了（実績日未確認）",IF(P57="","完了",IF(R57&gt;P57,"完了（遅延）","完了"))),IF(G57="04.保留","保留",IF(O57="","未計画",IF('設定'!$B$5&gt;P57,IF(G57="00.未確認","要確認（期限超過）","遅延"),IF('設定'!$B$5&gt;=O57,IF(G57="00.未確認","状況要確認",IF(Q57="","開始要確認","予定内")),"予定前")))))</x:f>
        <x:v>予定前</x:v>
      </x:c>
      <x:c r="W57" s="56" t="str">
        <x:v>45</x:v>
      </x:c>
      <x:c r="X57" s="56" t="str">
        <x:v>原資料展開</x:v>
      </x:c>
      <x:c r="Y57" s="56" t="str">
        <x:v>Productの加工Notebook・マッピング・共通関数呼出し</x:v>
      </x:c>
      <x:c r="Z57" s="56" t="str">
        <x:v>5テーブル×各1件の計画案。Notebook数は要件確定後に見直す。</x:v>
      </x:c>
      <x:c r="AA57" s="181" t="str">
        <x:f>IF(AND(IF(J57="",TRUE,COUNTIF($A$7:$A$56,J57)=1),IF(K57="",TRUE,COUNTIF($A$7:$A$56,K57)=1),IF(L57="",TRUE,COUNTIF($A$7:$A$56,L57)=1),COUNTIF($A$7:$A$107,A57)=1,AND(M57&gt;=1,MOD(M57,1)=0,N57&gt;=0,MOD(N57,1)=0,S57&gt;0,T57&gt;=0,T57&lt;=S57),OR(R57="",AND(Q57&lt;&gt;"",R57&gt;=Q57)),IF(OR(G57="05.完了",G57="06.完了（資料記載）"),U57=1,TRUE),IF(N57=0,U57=1,TRUE)),"OK","要確認")</x:f>
        <x:v>OK</x:v>
      </x:c>
    </x:row>
    <x:row r="58" ht="54" customHeight="1">
      <x:c r="A58" s="135" t="str">
        <x:v>00052</x:v>
      </x:c>
      <x:c r="B58" s="198" t="str">
        <x:v>04.開発</x:v>
      </x:c>
      <x:c r="C58" s="48" t="str">
        <x:v>Contact：加工Notebook作成</x:v>
      </x:c>
      <x:c r="D58" s="85" t="str">
        <x:v>開発担当（要確定）</x:v>
      </x:c>
      <x:c r="E58" s="48" t="str">
        <x:v>Fabric Notebook</x:v>
      </x:c>
      <x:c r="F58" s="143" t="str">
        <x:v>2.中</x:v>
      </x:c>
      <x:c r="G58" s="85" t="str">
        <x:v>00.未確認</x:v>
      </x:c>
      <x:c r="H58" s="149" t="str">
        <x:v>開発</x:v>
      </x:c>
      <x:c r="I58" s="48" t="str">
        <x:v>Contact</x:v>
      </x:c>
      <x:c r="J58" s="157" t="str">
        <x:v>00050</x:v>
      </x:c>
      <x:c r="K58" s="157" t="str">
        <x:v>00048</x:v>
      </x:c>
      <x:c r="L58" s="157" t="str">
        <x:v>00033</x:v>
      </x:c>
      <x:c r="M58" s="143" t="n">
        <x:v>1</x:v>
      </x:c>
      <x:c r="N58" s="143" t="n">
        <x:v>5</x:v>
      </x:c>
      <x:c r="O58" s="163" t="n">
        <x:f>IF(OR('設定'!$B$4="",N58=0),"",MAX(WORKDAY.INTL('設定'!$B$4-1,M58,'設定'!$B$6,'設定'!$J$4:$J$53),IF(J58="",0,IF(COUNTIF($A$7:$A$57,J58)=1,IFERROR(IF(INDEX($P$7:$P$57,MATCH(J58,$A$7:$A$57,0),1)=0,0,WORKDAY.INTL(INDEX($P$7:$P$57,MATCH(J58,$A$7:$A$57,0),1),1,'設定'!$B$6,'設定'!$J$4:$J$53)),0),0)),IF(K58="",0,IF(COUNTIF($A$7:$A$57,K58)=1,IFERROR(IF(INDEX($P$7:$P$57,MATCH(K58,$A$7:$A$57,0),1)=0,0,WORKDAY.INTL(INDEX($P$7:$P$57,MATCH(K58,$A$7:$A$57,0),1),1,'設定'!$B$6,'設定'!$J$4:$J$53)),0),0)),IF(L58="",0,IF(COUNTIF($A$7:$A$57,L58)=1,IFERROR(IF(INDEX($P$7:$P$57,MATCH(L58,$A$7:$A$57,0),1)=0,0,WORKDAY.INTL(INDEX($P$7:$P$57,MATCH(L58,$A$7:$A$57,0),1),1,'設定'!$B$6,'設定'!$J$4:$J$53)),0),0))))</x:f>
        <x:v>46384</x:v>
      </x:c>
      <x:c r="P58" s="163" t="n">
        <x:f>IF(O58="","",WORKDAY.INTL(O58,N58-1,'設定'!$B$6,'設定'!$J$4:$J$53))</x:f>
        <x:v>46388</x:v>
      </x:c>
      <x:c r="Q58" s="169"/>
      <x:c r="R58" s="169"/>
      <x:c r="S58" s="143" t="n">
        <x:v>1</x:v>
      </x:c>
      <x:c r="T58" s="143" t="n">
        <x:v>0</x:v>
      </x:c>
      <x:c r="U58" s="175" t="n">
        <x:f>IFERROR(T58/S58,0)</x:f>
        <x:v>0</x:v>
      </x:c>
      <x:c r="V58" s="91" t="str">
        <x:f>IF(U58&gt;=1,IF(R58="","完了（実績日未確認）",IF(P58="","完了",IF(R58&gt;P58,"完了（遅延）","完了"))),IF(G58="04.保留","保留",IF(O58="","未計画",IF('設定'!$B$5&gt;P58,IF(G58="00.未確認","要確認（期限超過）","遅延"),IF('設定'!$B$5&gt;=O58,IF(G58="00.未確認","状況要確認",IF(Q58="","開始要確認","予定内")),"予定前")))))</x:f>
        <x:v>予定前</x:v>
      </x:c>
      <x:c r="W58" s="48" t="str">
        <x:v>45</x:v>
      </x:c>
      <x:c r="X58" s="48" t="str">
        <x:v>原資料展開</x:v>
      </x:c>
      <x:c r="Y58" s="48" t="str">
        <x:v>Contactの加工Notebook・マッピング・共通関数呼出し</x:v>
      </x:c>
      <x:c r="Z58" s="48" t="str">
        <x:v>5テーブル×各1件の計画案。Notebook数は要件確定後に見直す。</x:v>
      </x:c>
      <x:c r="AA58" s="181" t="str">
        <x:f>IF(AND(IF(J58="",TRUE,COUNTIF($A$7:$A$57,J58)=1),IF(K58="",TRUE,COUNTIF($A$7:$A$57,K58)=1),IF(L58="",TRUE,COUNTIF($A$7:$A$57,L58)=1),COUNTIF($A$7:$A$107,A58)=1,AND(M58&gt;=1,MOD(M58,1)=0,N58&gt;=0,MOD(N58,1)=0,S58&gt;0,T58&gt;=0,T58&lt;=S58),OR(R58="",AND(Q58&lt;&gt;"",R58&gt;=Q58)),IF(OR(G58="05.完了",G58="06.完了（資料記載）"),U58=1,TRUE),IF(N58=0,U58=1,TRUE)),"OK","要確認")</x:f>
        <x:v>OK</x:v>
      </x:c>
    </x:row>
    <x:row r="59" ht="54" customHeight="1">
      <x:c r="A59" s="136" t="str">
        <x:v>00053</x:v>
      </x:c>
      <x:c r="B59" s="198" t="str">
        <x:v>04.開発</x:v>
      </x:c>
      <x:c r="C59" s="56" t="str">
        <x:v>Account：加工Notebook作成</x:v>
      </x:c>
      <x:c r="D59" s="85" t="str">
        <x:v>開発担当（要確定）</x:v>
      </x:c>
      <x:c r="E59" s="56" t="str">
        <x:v>Fabric Notebook</x:v>
      </x:c>
      <x:c r="F59" s="143" t="str">
        <x:v>2.中</x:v>
      </x:c>
      <x:c r="G59" s="85" t="str">
        <x:v>00.未確認</x:v>
      </x:c>
      <x:c r="H59" s="150" t="str">
        <x:v>開発</x:v>
      </x:c>
      <x:c r="I59" s="56" t="str">
        <x:v>Account</x:v>
      </x:c>
      <x:c r="J59" s="157" t="str">
        <x:v>00050</x:v>
      </x:c>
      <x:c r="K59" s="157" t="str">
        <x:v>00048</x:v>
      </x:c>
      <x:c r="L59" s="157" t="str">
        <x:v>00034</x:v>
      </x:c>
      <x:c r="M59" s="143" t="n">
        <x:v>1</x:v>
      </x:c>
      <x:c r="N59" s="143" t="n">
        <x:v>5</x:v>
      </x:c>
      <x:c r="O59" s="163" t="n">
        <x:f>IF(OR('設定'!$B$4="",N59=0),"",MAX(WORKDAY.INTL('設定'!$B$4-1,M59,'設定'!$B$6,'設定'!$J$4:$J$53),IF(J59="",0,IF(COUNTIF($A$7:$A$58,J59)=1,IFERROR(IF(INDEX($P$7:$P$58,MATCH(J59,$A$7:$A$58,0),1)=0,0,WORKDAY.INTL(INDEX($P$7:$P$58,MATCH(J59,$A$7:$A$58,0),1),1,'設定'!$B$6,'設定'!$J$4:$J$53)),0),0)),IF(K59="",0,IF(COUNTIF($A$7:$A$58,K59)=1,IFERROR(IF(INDEX($P$7:$P$58,MATCH(K59,$A$7:$A$58,0),1)=0,0,WORKDAY.INTL(INDEX($P$7:$P$58,MATCH(K59,$A$7:$A$58,0),1),1,'設定'!$B$6,'設定'!$J$4:$J$53)),0),0)),IF(L59="",0,IF(COUNTIF($A$7:$A$58,L59)=1,IFERROR(IF(INDEX($P$7:$P$58,MATCH(L59,$A$7:$A$58,0),1)=0,0,WORKDAY.INTL(INDEX($P$7:$P$58,MATCH(L59,$A$7:$A$58,0),1),1,'設定'!$B$6,'設定'!$J$4:$J$53)),0),0))))</x:f>
        <x:v>46384</x:v>
      </x:c>
      <x:c r="P59" s="163" t="n">
        <x:f>IF(O59="","",WORKDAY.INTL(O59,N59-1,'設定'!$B$6,'設定'!$J$4:$J$53))</x:f>
        <x:v>46388</x:v>
      </x:c>
      <x:c r="Q59" s="169"/>
      <x:c r="R59" s="169"/>
      <x:c r="S59" s="143" t="n">
        <x:v>1</x:v>
      </x:c>
      <x:c r="T59" s="143" t="n">
        <x:v>0</x:v>
      </x:c>
      <x:c r="U59" s="175" t="n">
        <x:f>IFERROR(T59/S59,0)</x:f>
        <x:v>0</x:v>
      </x:c>
      <x:c r="V59" s="91" t="str">
        <x:f>IF(U59&gt;=1,IF(R59="","完了（実績日未確認）",IF(P59="","完了",IF(R59&gt;P59,"完了（遅延）","完了"))),IF(G59="04.保留","保留",IF(O59="","未計画",IF('設定'!$B$5&gt;P59,IF(G59="00.未確認","要確認（期限超過）","遅延"),IF('設定'!$B$5&gt;=O59,IF(G59="00.未確認","状況要確認",IF(Q59="","開始要確認","予定内")),"予定前")))))</x:f>
        <x:v>予定前</x:v>
      </x:c>
      <x:c r="W59" s="56" t="str">
        <x:v>45</x:v>
      </x:c>
      <x:c r="X59" s="56" t="str">
        <x:v>原資料展開</x:v>
      </x:c>
      <x:c r="Y59" s="56" t="str">
        <x:v>Accountの加工Notebook・マッピング・共通関数呼出し</x:v>
      </x:c>
      <x:c r="Z59" s="56" t="str">
        <x:v>5テーブル×各1件の計画案。Notebook数は要件確定後に見直す。</x:v>
      </x:c>
      <x:c r="AA59" s="181" t="str">
        <x:f>IF(AND(IF(J59="",TRUE,COUNTIF($A$7:$A$58,J59)=1),IF(K59="",TRUE,COUNTIF($A$7:$A$58,K59)=1),IF(L59="",TRUE,COUNTIF($A$7:$A$58,L59)=1),COUNTIF($A$7:$A$107,A59)=1,AND(M59&gt;=1,MOD(M59,1)=0,N59&gt;=0,MOD(N59,1)=0,S59&gt;0,T59&gt;=0,T59&lt;=S59),OR(R59="",AND(Q59&lt;&gt;"",R59&gt;=Q59)),IF(OR(G59="05.完了",G59="06.完了（資料記載）"),U59=1,TRUE),IF(N59=0,U59=1,TRUE)),"OK","要確認")</x:f>
        <x:v>OK</x:v>
      </x:c>
    </x:row>
    <x:row r="60" ht="54" customHeight="1">
      <x:c r="A60" s="135" t="str">
        <x:v>00054</x:v>
      </x:c>
      <x:c r="B60" s="198" t="str">
        <x:v>04.開発</x:v>
      </x:c>
      <x:c r="C60" s="48" t="str">
        <x:v>AccountContact：加工Notebook作成</x:v>
      </x:c>
      <x:c r="D60" s="85" t="str">
        <x:v>開発担当（要確定）</x:v>
      </x:c>
      <x:c r="E60" s="48" t="str">
        <x:v>Fabric Notebook</x:v>
      </x:c>
      <x:c r="F60" s="143" t="str">
        <x:v>2.中</x:v>
      </x:c>
      <x:c r="G60" s="85" t="str">
        <x:v>00.未確認</x:v>
      </x:c>
      <x:c r="H60" s="149" t="str">
        <x:v>開発</x:v>
      </x:c>
      <x:c r="I60" s="48" t="str">
        <x:v>AccountContact</x:v>
      </x:c>
      <x:c r="J60" s="157" t="str">
        <x:v>00050</x:v>
      </x:c>
      <x:c r="K60" s="157" t="str">
        <x:v>00048</x:v>
      </x:c>
      <x:c r="L60" s="157" t="str">
        <x:v>00035</x:v>
      </x:c>
      <x:c r="M60" s="143" t="n">
        <x:v>1</x:v>
      </x:c>
      <x:c r="N60" s="143" t="n">
        <x:v>5</x:v>
      </x:c>
      <x:c r="O60" s="163" t="n">
        <x:f>IF(OR('設定'!$B$4="",N60=0),"",MAX(WORKDAY.INTL('設定'!$B$4-1,M60,'設定'!$B$6,'設定'!$J$4:$J$53),IF(J60="",0,IF(COUNTIF($A$7:$A$59,J60)=1,IFERROR(IF(INDEX($P$7:$P$59,MATCH(J60,$A$7:$A$59,0),1)=0,0,WORKDAY.INTL(INDEX($P$7:$P$59,MATCH(J60,$A$7:$A$59,0),1),1,'設定'!$B$6,'設定'!$J$4:$J$53)),0),0)),IF(K60="",0,IF(COUNTIF($A$7:$A$59,K60)=1,IFERROR(IF(INDEX($P$7:$P$59,MATCH(K60,$A$7:$A$59,0),1)=0,0,WORKDAY.INTL(INDEX($P$7:$P$59,MATCH(K60,$A$7:$A$59,0),1),1,'設定'!$B$6,'設定'!$J$4:$J$53)),0),0)),IF(L60="",0,IF(COUNTIF($A$7:$A$59,L60)=1,IFERROR(IF(INDEX($P$7:$P$59,MATCH(L60,$A$7:$A$59,0),1)=0,0,WORKDAY.INTL(INDEX($P$7:$P$59,MATCH(L60,$A$7:$A$59,0),1),1,'設定'!$B$6,'設定'!$J$4:$J$53)),0),0))))</x:f>
        <x:v>46384</x:v>
      </x:c>
      <x:c r="P60" s="163" t="n">
        <x:f>IF(O60="","",WORKDAY.INTL(O60,N60-1,'設定'!$B$6,'設定'!$J$4:$J$53))</x:f>
        <x:v>46388</x:v>
      </x:c>
      <x:c r="Q60" s="169"/>
      <x:c r="R60" s="169"/>
      <x:c r="S60" s="143" t="n">
        <x:v>1</x:v>
      </x:c>
      <x:c r="T60" s="143" t="n">
        <x:v>0</x:v>
      </x:c>
      <x:c r="U60" s="175" t="n">
        <x:f>IFERROR(T60/S60,0)</x:f>
        <x:v>0</x:v>
      </x:c>
      <x:c r="V60" s="91" t="str">
        <x:f>IF(U60&gt;=1,IF(R60="","完了（実績日未確認）",IF(P60="","完了",IF(R60&gt;P60,"完了（遅延）","完了"))),IF(G60="04.保留","保留",IF(O60="","未計画",IF('設定'!$B$5&gt;P60,IF(G60="00.未確認","要確認（期限超過）","遅延"),IF('設定'!$B$5&gt;=O60,IF(G60="00.未確認","状況要確認",IF(Q60="","開始要確認","予定内")),"予定前")))))</x:f>
        <x:v>予定前</x:v>
      </x:c>
      <x:c r="W60" s="48" t="str">
        <x:v>45</x:v>
      </x:c>
      <x:c r="X60" s="48" t="str">
        <x:v>原資料展開</x:v>
      </x:c>
      <x:c r="Y60" s="48" t="str">
        <x:v>AccountContactの加工Notebook・マッピング・共通関数呼出し</x:v>
      </x:c>
      <x:c r="Z60" s="48" t="str">
        <x:v>5テーブル×各1件の計画案。Notebook数は要件確定後に見直す。</x:v>
      </x:c>
      <x:c r="AA60" s="181" t="str">
        <x:f>IF(AND(IF(J60="",TRUE,COUNTIF($A$7:$A$59,J60)=1),IF(K60="",TRUE,COUNTIF($A$7:$A$59,K60)=1),IF(L60="",TRUE,COUNTIF($A$7:$A$59,L60)=1),COUNTIF($A$7:$A$107,A60)=1,AND(M60&gt;=1,MOD(M60,1)=0,N60&gt;=0,MOD(N60,1)=0,S60&gt;0,T60&gt;=0,T60&lt;=S60),OR(R60="",AND(Q60&lt;&gt;"",R60&gt;=Q60)),IF(OR(G60="05.完了",G60="06.完了（資料記載）"),U60=1,TRUE),IF(N60=0,U60=1,TRUE)),"OK","要確認")</x:f>
        <x:v>OK</x:v>
      </x:c>
    </x:row>
    <x:row r="61" ht="54" customHeight="1">
      <x:c r="A61" s="136" t="str">
        <x:v>00055</x:v>
      </x:c>
      <x:c r="B61" s="198" t="str">
        <x:v>04.開発</x:v>
      </x:c>
      <x:c r="C61" s="56" t="str">
        <x:v>SalesRepHospital：加工Notebook作成</x:v>
      </x:c>
      <x:c r="D61" s="85" t="str">
        <x:v>開発担当（要確定）</x:v>
      </x:c>
      <x:c r="E61" s="56" t="str">
        <x:v>Fabric Notebook</x:v>
      </x:c>
      <x:c r="F61" s="143" t="str">
        <x:v>2.中</x:v>
      </x:c>
      <x:c r="G61" s="85" t="str">
        <x:v>00.未確認</x:v>
      </x:c>
      <x:c r="H61" s="150" t="str">
        <x:v>開発</x:v>
      </x:c>
      <x:c r="I61" s="56" t="str">
        <x:v>SalesRepHospital</x:v>
      </x:c>
      <x:c r="J61" s="157" t="str">
        <x:v>00050</x:v>
      </x:c>
      <x:c r="K61" s="157" t="str">
        <x:v>00048</x:v>
      </x:c>
      <x:c r="L61" s="157" t="str">
        <x:v>00036</x:v>
      </x:c>
      <x:c r="M61" s="143" t="n">
        <x:v>1</x:v>
      </x:c>
      <x:c r="N61" s="143" t="n">
        <x:v>5</x:v>
      </x:c>
      <x:c r="O61" s="163" t="n">
        <x:f>IF(OR('設定'!$B$4="",N61=0),"",MAX(WORKDAY.INTL('設定'!$B$4-1,M61,'設定'!$B$6,'設定'!$J$4:$J$53),IF(J61="",0,IF(COUNTIF($A$7:$A$60,J61)=1,IFERROR(IF(INDEX($P$7:$P$60,MATCH(J61,$A$7:$A$60,0),1)=0,0,WORKDAY.INTL(INDEX($P$7:$P$60,MATCH(J61,$A$7:$A$60,0),1),1,'設定'!$B$6,'設定'!$J$4:$J$53)),0),0)),IF(K61="",0,IF(COUNTIF($A$7:$A$60,K61)=1,IFERROR(IF(INDEX($P$7:$P$60,MATCH(K61,$A$7:$A$60,0),1)=0,0,WORKDAY.INTL(INDEX($P$7:$P$60,MATCH(K61,$A$7:$A$60,0),1),1,'設定'!$B$6,'設定'!$J$4:$J$53)),0),0)),IF(L61="",0,IF(COUNTIF($A$7:$A$60,L61)=1,IFERROR(IF(INDEX($P$7:$P$60,MATCH(L61,$A$7:$A$60,0),1)=0,0,WORKDAY.INTL(INDEX($P$7:$P$60,MATCH(L61,$A$7:$A$60,0),1),1,'設定'!$B$6,'設定'!$J$4:$J$53)),0),0))))</x:f>
        <x:v>46384</x:v>
      </x:c>
      <x:c r="P61" s="163" t="n">
        <x:f>IF(O61="","",WORKDAY.INTL(O61,N61-1,'設定'!$B$6,'設定'!$J$4:$J$53))</x:f>
        <x:v>46388</x:v>
      </x:c>
      <x:c r="Q61" s="169"/>
      <x:c r="R61" s="169"/>
      <x:c r="S61" s="143" t="n">
        <x:v>1</x:v>
      </x:c>
      <x:c r="T61" s="143" t="n">
        <x:v>0</x:v>
      </x:c>
      <x:c r="U61" s="175" t="n">
        <x:f>IFERROR(T61/S61,0)</x:f>
        <x:v>0</x:v>
      </x:c>
      <x:c r="V61" s="91" t="str">
        <x:f>IF(U61&gt;=1,IF(R61="","完了（実績日未確認）",IF(P61="","完了",IF(R61&gt;P61,"完了（遅延）","完了"))),IF(G61="04.保留","保留",IF(O61="","未計画",IF('設定'!$B$5&gt;P61,IF(G61="00.未確認","要確認（期限超過）","遅延"),IF('設定'!$B$5&gt;=O61,IF(G61="00.未確認","状況要確認",IF(Q61="","開始要確認","予定内")),"予定前")))))</x:f>
        <x:v>予定前</x:v>
      </x:c>
      <x:c r="W61" s="56" t="str">
        <x:v>45</x:v>
      </x:c>
      <x:c r="X61" s="56" t="str">
        <x:v>原資料展開</x:v>
      </x:c>
      <x:c r="Y61" s="56" t="str">
        <x:v>SalesRepHospitalの加工Notebook・マッピング・共通関数呼出し</x:v>
      </x:c>
      <x:c r="Z61" s="56" t="str">
        <x:v>5テーブル×各1件の計画案。Notebook数は要件確定後に見直す。</x:v>
      </x:c>
      <x:c r="AA61" s="181" t="str">
        <x:f>IF(AND(IF(J61="",TRUE,COUNTIF($A$7:$A$60,J61)=1),IF(K61="",TRUE,COUNTIF($A$7:$A$60,K61)=1),IF(L61="",TRUE,COUNTIF($A$7:$A$60,L61)=1),COUNTIF($A$7:$A$107,A61)=1,AND(M61&gt;=1,MOD(M61,1)=0,N61&gt;=0,MOD(N61,1)=0,S61&gt;0,T61&gt;=0,T61&lt;=S61),OR(R61="",AND(Q61&lt;&gt;"",R61&gt;=Q61)),IF(OR(G61="05.完了",G61="06.完了（資料記載）"),U61=1,TRUE),IF(N61=0,U61=1,TRUE)),"OK","要確認")</x:f>
        <x:v>OK</x:v>
      </x:c>
    </x:row>
    <x:row r="62" ht="54" customHeight="1">
      <x:c r="A62" s="135" t="str">
        <x:v>00056</x:v>
      </x:c>
      <x:c r="B62" s="198" t="str">
        <x:v>04.開発</x:v>
      </x:c>
      <x:c r="C62" s="48" t="str">
        <x:v>Product：GoldPipeline作成</x:v>
      </x:c>
      <x:c r="D62" s="85" t="str">
        <x:v>開発担当（要確定）</x:v>
      </x:c>
      <x:c r="E62" s="48" t="str">
        <x:v>GoldPipeline</x:v>
      </x:c>
      <x:c r="F62" s="143" t="str">
        <x:v>2.中</x:v>
      </x:c>
      <x:c r="G62" s="85" t="str">
        <x:v>00.未確認</x:v>
      </x:c>
      <x:c r="H62" s="149" t="str">
        <x:v>開発</x:v>
      </x:c>
      <x:c r="I62" s="48" t="str">
        <x:v>Product</x:v>
      </x:c>
      <x:c r="J62" s="157" t="str">
        <x:v>00051</x:v>
      </x:c>
      <x:c r="K62" s="157" t="str">
        <x:v>00049</x:v>
      </x:c>
      <x:c r="L62" s="157" t="str"/>
      <x:c r="M62" s="143" t="n">
        <x:v>1</x:v>
      </x:c>
      <x:c r="N62" s="143" t="n">
        <x:v>2</x:v>
      </x:c>
      <x:c r="O62" s="163" t="n">
        <x:f>IF(OR('設定'!$B$4="",N62=0),"",MAX(WORKDAY.INTL('設定'!$B$4-1,M62,'設定'!$B$6,'設定'!$J$4:$J$53),IF(J62="",0,IF(COUNTIF($A$7:$A$61,J62)=1,IFERROR(IF(INDEX($P$7:$P$61,MATCH(J62,$A$7:$A$61,0),1)=0,0,WORKDAY.INTL(INDEX($P$7:$P$61,MATCH(J62,$A$7:$A$61,0),1),1,'設定'!$B$6,'設定'!$J$4:$J$53)),0),0)),IF(K62="",0,IF(COUNTIF($A$7:$A$61,K62)=1,IFERROR(IF(INDEX($P$7:$P$61,MATCH(K62,$A$7:$A$61,0),1)=0,0,WORKDAY.INTL(INDEX($P$7:$P$61,MATCH(K62,$A$7:$A$61,0),1),1,'設定'!$B$6,'設定'!$J$4:$J$53)),0),0)),IF(L62="",0,IF(COUNTIF($A$7:$A$61,L62)=1,IFERROR(IF(INDEX($P$7:$P$61,MATCH(L62,$A$7:$A$61,0),1)=0,0,WORKDAY.INTL(INDEX($P$7:$P$61,MATCH(L62,$A$7:$A$61,0),1),1,'設定'!$B$6,'設定'!$J$4:$J$53)),0),0))))</x:f>
        <x:v>46391</x:v>
      </x:c>
      <x:c r="P62" s="163" t="n">
        <x:f>IF(O62="","",WORKDAY.INTL(O62,N62-1,'設定'!$B$6,'設定'!$J$4:$J$53))</x:f>
        <x:v>46392</x:v>
      </x:c>
      <x:c r="Q62" s="169"/>
      <x:c r="R62" s="169"/>
      <x:c r="S62" s="143" t="n">
        <x:v>1</x:v>
      </x:c>
      <x:c r="T62" s="143" t="n">
        <x:v>0</x:v>
      </x:c>
      <x:c r="U62" s="175" t="n">
        <x:f>IFERROR(T62/S62,0)</x:f>
        <x:v>0</x:v>
      </x:c>
      <x:c r="V62" s="91" t="str">
        <x:f>IF(U62&gt;=1,IF(R62="","完了（実績日未確認）",IF(P62="","完了",IF(R62&gt;P62,"完了（遅延）","完了"))),IF(G62="04.保留","保留",IF(O62="","未計画",IF('設定'!$B$5&gt;P62,IF(G62="00.未確認","要確認（期限超過）","遅延"),IF('設定'!$B$5&gt;=O62,IF(G62="00.未確認","状況要確認",IF(Q62="","開始要確認","予定内")),"予定前")))))</x:f>
        <x:v>予定前</x:v>
      </x:c>
      <x:c r="W62" s="48" t="str">
        <x:v>41</x:v>
      </x:c>
      <x:c r="X62" s="48" t="str">
        <x:v>原資料展開</x:v>
      </x:c>
      <x:c r="Y62" s="48" t="str">
        <x:v>Productの実行・依存・例外制御を含むPipeline</x:v>
      </x:c>
      <x:c r="Z62" s="48" t="str">
        <x:v>各OUTPUTテーブル1件。作業の直列化は仮置き。</x:v>
      </x:c>
      <x:c r="AA62" s="181" t="str">
        <x:f>IF(AND(IF(J62="",TRUE,COUNTIF($A$7:$A$61,J62)=1),IF(K62="",TRUE,COUNTIF($A$7:$A$61,K62)=1),IF(L62="",TRUE,COUNTIF($A$7:$A$61,L62)=1),COUNTIF($A$7:$A$107,A62)=1,AND(M62&gt;=1,MOD(M62,1)=0,N62&gt;=0,MOD(N62,1)=0,S62&gt;0,T62&gt;=0,T62&lt;=S62),OR(R62="",AND(Q62&lt;&gt;"",R62&gt;=Q62)),IF(OR(G62="05.完了",G62="06.完了（資料記載）"),U62=1,TRUE),IF(N62=0,U62=1,TRUE)),"OK","要確認")</x:f>
        <x:v>OK</x:v>
      </x:c>
    </x:row>
    <x:row r="63" ht="54" customHeight="1">
      <x:c r="A63" s="136" t="str">
        <x:v>00057</x:v>
      </x:c>
      <x:c r="B63" s="198" t="str">
        <x:v>04.開発</x:v>
      </x:c>
      <x:c r="C63" s="56" t="str">
        <x:v>Contact：GoldPipeline作成</x:v>
      </x:c>
      <x:c r="D63" s="85" t="str">
        <x:v>開発担当（要確定）</x:v>
      </x:c>
      <x:c r="E63" s="56" t="str">
        <x:v>GoldPipeline</x:v>
      </x:c>
      <x:c r="F63" s="143" t="str">
        <x:v>2.中</x:v>
      </x:c>
      <x:c r="G63" s="85" t="str">
        <x:v>00.未確認</x:v>
      </x:c>
      <x:c r="H63" s="150" t="str">
        <x:v>開発</x:v>
      </x:c>
      <x:c r="I63" s="56" t="str">
        <x:v>Contact</x:v>
      </x:c>
      <x:c r="J63" s="157" t="str">
        <x:v>00052</x:v>
      </x:c>
      <x:c r="K63" s="157" t="str">
        <x:v>00049</x:v>
      </x:c>
      <x:c r="L63" s="157" t="str">
        <x:v>00056</x:v>
      </x:c>
      <x:c r="M63" s="143" t="n">
        <x:v>1</x:v>
      </x:c>
      <x:c r="N63" s="143" t="n">
        <x:v>2</x:v>
      </x:c>
      <x:c r="O63" s="163" t="n">
        <x:f>IF(OR('設定'!$B$4="",N63=0),"",MAX(WORKDAY.INTL('設定'!$B$4-1,M63,'設定'!$B$6,'設定'!$J$4:$J$53),IF(J63="",0,IF(COUNTIF($A$7:$A$62,J63)=1,IFERROR(IF(INDEX($P$7:$P$62,MATCH(J63,$A$7:$A$62,0),1)=0,0,WORKDAY.INTL(INDEX($P$7:$P$62,MATCH(J63,$A$7:$A$62,0),1),1,'設定'!$B$6,'設定'!$J$4:$J$53)),0),0)),IF(K63="",0,IF(COUNTIF($A$7:$A$62,K63)=1,IFERROR(IF(INDEX($P$7:$P$62,MATCH(K63,$A$7:$A$62,0),1)=0,0,WORKDAY.INTL(INDEX($P$7:$P$62,MATCH(K63,$A$7:$A$62,0),1),1,'設定'!$B$6,'設定'!$J$4:$J$53)),0),0)),IF(L63="",0,IF(COUNTIF($A$7:$A$62,L63)=1,IFERROR(IF(INDEX($P$7:$P$62,MATCH(L63,$A$7:$A$62,0),1)=0,0,WORKDAY.INTL(INDEX($P$7:$P$62,MATCH(L63,$A$7:$A$62,0),1),1,'設定'!$B$6,'設定'!$J$4:$J$53)),0),0))))</x:f>
        <x:v>46393</x:v>
      </x:c>
      <x:c r="P63" s="163" t="n">
        <x:f>IF(O63="","",WORKDAY.INTL(O63,N63-1,'設定'!$B$6,'設定'!$J$4:$J$53))</x:f>
        <x:v>46394</x:v>
      </x:c>
      <x:c r="Q63" s="169"/>
      <x:c r="R63" s="169"/>
      <x:c r="S63" s="143" t="n">
        <x:v>1</x:v>
      </x:c>
      <x:c r="T63" s="143" t="n">
        <x:v>0</x:v>
      </x:c>
      <x:c r="U63" s="175" t="n">
        <x:f>IFERROR(T63/S63,0)</x:f>
        <x:v>0</x:v>
      </x:c>
      <x:c r="V63" s="91" t="str">
        <x:f>IF(U63&gt;=1,IF(R63="","完了（実績日未確認）",IF(P63="","完了",IF(R63&gt;P63,"完了（遅延）","完了"))),IF(G63="04.保留","保留",IF(O63="","未計画",IF('設定'!$B$5&gt;P63,IF(G63="00.未確認","要確認（期限超過）","遅延"),IF('設定'!$B$5&gt;=O63,IF(G63="00.未確認","状況要確認",IF(Q63="","開始要確認","予定内")),"予定前")))))</x:f>
        <x:v>予定前</x:v>
      </x:c>
      <x:c r="W63" s="56" t="str">
        <x:v>41</x:v>
      </x:c>
      <x:c r="X63" s="56" t="str">
        <x:v>原資料展開</x:v>
      </x:c>
      <x:c r="Y63" s="56" t="str">
        <x:v>Contactの実行・依存・例外制御を含むPipeline</x:v>
      </x:c>
      <x:c r="Z63" s="56" t="str">
        <x:v>各OUTPUTテーブル1件。作業の直列化は仮置き。</x:v>
      </x:c>
      <x:c r="AA63" s="181" t="str">
        <x:f>IF(AND(IF(J63="",TRUE,COUNTIF($A$7:$A$62,J63)=1),IF(K63="",TRUE,COUNTIF($A$7:$A$62,K63)=1),IF(L63="",TRUE,COUNTIF($A$7:$A$62,L63)=1),COUNTIF($A$7:$A$107,A63)=1,AND(M63&gt;=1,MOD(M63,1)=0,N63&gt;=0,MOD(N63,1)=0,S63&gt;0,T63&gt;=0,T63&lt;=S63),OR(R63="",AND(Q63&lt;&gt;"",R63&gt;=Q63)),IF(OR(G63="05.完了",G63="06.完了（資料記載）"),U63=1,TRUE),IF(N63=0,U63=1,TRUE)),"OK","要確認")</x:f>
        <x:v>OK</x:v>
      </x:c>
    </x:row>
    <x:row r="64" ht="54" customHeight="1">
      <x:c r="A64" s="135" t="str">
        <x:v>00058</x:v>
      </x:c>
      <x:c r="B64" s="198" t="str">
        <x:v>04.開発</x:v>
      </x:c>
      <x:c r="C64" s="48" t="str">
        <x:v>Account：GoldPipeline作成</x:v>
      </x:c>
      <x:c r="D64" s="85" t="str">
        <x:v>開発担当（要確定）</x:v>
      </x:c>
      <x:c r="E64" s="48" t="str">
        <x:v>GoldPipeline</x:v>
      </x:c>
      <x:c r="F64" s="143" t="str">
        <x:v>2.中</x:v>
      </x:c>
      <x:c r="G64" s="85" t="str">
        <x:v>00.未確認</x:v>
      </x:c>
      <x:c r="H64" s="149" t="str">
        <x:v>開発</x:v>
      </x:c>
      <x:c r="I64" s="48" t="str">
        <x:v>Account</x:v>
      </x:c>
      <x:c r="J64" s="157" t="str">
        <x:v>00053</x:v>
      </x:c>
      <x:c r="K64" s="157" t="str">
        <x:v>00049</x:v>
      </x:c>
      <x:c r="L64" s="157" t="str">
        <x:v>00057</x:v>
      </x:c>
      <x:c r="M64" s="143" t="n">
        <x:v>1</x:v>
      </x:c>
      <x:c r="N64" s="143" t="n">
        <x:v>2</x:v>
      </x:c>
      <x:c r="O64" s="163" t="n">
        <x:f>IF(OR('設定'!$B$4="",N64=0),"",MAX(WORKDAY.INTL('設定'!$B$4-1,M64,'設定'!$B$6,'設定'!$J$4:$J$53),IF(J64="",0,IF(COUNTIF($A$7:$A$63,J64)=1,IFERROR(IF(INDEX($P$7:$P$63,MATCH(J64,$A$7:$A$63,0),1)=0,0,WORKDAY.INTL(INDEX($P$7:$P$63,MATCH(J64,$A$7:$A$63,0),1),1,'設定'!$B$6,'設定'!$J$4:$J$53)),0),0)),IF(K64="",0,IF(COUNTIF($A$7:$A$63,K64)=1,IFERROR(IF(INDEX($P$7:$P$63,MATCH(K64,$A$7:$A$63,0),1)=0,0,WORKDAY.INTL(INDEX($P$7:$P$63,MATCH(K64,$A$7:$A$63,0),1),1,'設定'!$B$6,'設定'!$J$4:$J$53)),0),0)),IF(L64="",0,IF(COUNTIF($A$7:$A$63,L64)=1,IFERROR(IF(INDEX($P$7:$P$63,MATCH(L64,$A$7:$A$63,0),1)=0,0,WORKDAY.INTL(INDEX($P$7:$P$63,MATCH(L64,$A$7:$A$63,0),1),1,'設定'!$B$6,'設定'!$J$4:$J$53)),0),0))))</x:f>
        <x:v>46395</x:v>
      </x:c>
      <x:c r="P64" s="163" t="n">
        <x:f>IF(O64="","",WORKDAY.INTL(O64,N64-1,'設定'!$B$6,'設定'!$J$4:$J$53))</x:f>
        <x:v>46398</x:v>
      </x:c>
      <x:c r="Q64" s="169"/>
      <x:c r="R64" s="169"/>
      <x:c r="S64" s="143" t="n">
        <x:v>1</x:v>
      </x:c>
      <x:c r="T64" s="143" t="n">
        <x:v>0</x:v>
      </x:c>
      <x:c r="U64" s="175" t="n">
        <x:f>IFERROR(T64/S64,0)</x:f>
        <x:v>0</x:v>
      </x:c>
      <x:c r="V64" s="91" t="str">
        <x:f>IF(U64&gt;=1,IF(R64="","完了（実績日未確認）",IF(P64="","完了",IF(R64&gt;P64,"完了（遅延）","完了"))),IF(G64="04.保留","保留",IF(O64="","未計画",IF('設定'!$B$5&gt;P64,IF(G64="00.未確認","要確認（期限超過）","遅延"),IF('設定'!$B$5&gt;=O64,IF(G64="00.未確認","状況要確認",IF(Q64="","開始要確認","予定内")),"予定前")))))</x:f>
        <x:v>予定前</x:v>
      </x:c>
      <x:c r="W64" s="48" t="str">
        <x:v>41</x:v>
      </x:c>
      <x:c r="X64" s="48" t="str">
        <x:v>原資料展開</x:v>
      </x:c>
      <x:c r="Y64" s="48" t="str">
        <x:v>Accountの実行・依存・例外制御を含むPipeline</x:v>
      </x:c>
      <x:c r="Z64" s="48" t="str">
        <x:v>各OUTPUTテーブル1件。作業の直列化は仮置き。</x:v>
      </x:c>
      <x:c r="AA64" s="181" t="str">
        <x:f>IF(AND(IF(J64="",TRUE,COUNTIF($A$7:$A$63,J64)=1),IF(K64="",TRUE,COUNTIF($A$7:$A$63,K64)=1),IF(L64="",TRUE,COUNTIF($A$7:$A$63,L64)=1),COUNTIF($A$7:$A$107,A64)=1,AND(M64&gt;=1,MOD(M64,1)=0,N64&gt;=0,MOD(N64,1)=0,S64&gt;0,T64&gt;=0,T64&lt;=S64),OR(R64="",AND(Q64&lt;&gt;"",R64&gt;=Q64)),IF(OR(G64="05.完了",G64="06.完了（資料記載）"),U64=1,TRUE),IF(N64=0,U64=1,TRUE)),"OK","要確認")</x:f>
        <x:v>OK</x:v>
      </x:c>
    </x:row>
    <x:row r="65" ht="54" customHeight="1">
      <x:c r="A65" s="136" t="str">
        <x:v>00059</x:v>
      </x:c>
      <x:c r="B65" s="198" t="str">
        <x:v>04.開発</x:v>
      </x:c>
      <x:c r="C65" s="56" t="str">
        <x:v>AccountContact：GoldPipeline作成</x:v>
      </x:c>
      <x:c r="D65" s="85" t="str">
        <x:v>開発担当（要確定）</x:v>
      </x:c>
      <x:c r="E65" s="56" t="str">
        <x:v>GoldPipeline</x:v>
      </x:c>
      <x:c r="F65" s="143" t="str">
        <x:v>2.中</x:v>
      </x:c>
      <x:c r="G65" s="85" t="str">
        <x:v>00.未確認</x:v>
      </x:c>
      <x:c r="H65" s="150" t="str">
        <x:v>開発</x:v>
      </x:c>
      <x:c r="I65" s="56" t="str">
        <x:v>AccountContact</x:v>
      </x:c>
      <x:c r="J65" s="157" t="str">
        <x:v>00054</x:v>
      </x:c>
      <x:c r="K65" s="157" t="str">
        <x:v>00049</x:v>
      </x:c>
      <x:c r="L65" s="157" t="str">
        <x:v>00058</x:v>
      </x:c>
      <x:c r="M65" s="143" t="n">
        <x:v>1</x:v>
      </x:c>
      <x:c r="N65" s="143" t="n">
        <x:v>2</x:v>
      </x:c>
      <x:c r="O65" s="163" t="n">
        <x:f>IF(OR('設定'!$B$4="",N65=0),"",MAX(WORKDAY.INTL('設定'!$B$4-1,M65,'設定'!$B$6,'設定'!$J$4:$J$53),IF(J65="",0,IF(COUNTIF($A$7:$A$64,J65)=1,IFERROR(IF(INDEX($P$7:$P$64,MATCH(J65,$A$7:$A$64,0),1)=0,0,WORKDAY.INTL(INDEX($P$7:$P$64,MATCH(J65,$A$7:$A$64,0),1),1,'設定'!$B$6,'設定'!$J$4:$J$53)),0),0)),IF(K65="",0,IF(COUNTIF($A$7:$A$64,K65)=1,IFERROR(IF(INDEX($P$7:$P$64,MATCH(K65,$A$7:$A$64,0),1)=0,0,WORKDAY.INTL(INDEX($P$7:$P$64,MATCH(K65,$A$7:$A$64,0),1),1,'設定'!$B$6,'設定'!$J$4:$J$53)),0),0)),IF(L65="",0,IF(COUNTIF($A$7:$A$64,L65)=1,IFERROR(IF(INDEX($P$7:$P$64,MATCH(L65,$A$7:$A$64,0),1)=0,0,WORKDAY.INTL(INDEX($P$7:$P$64,MATCH(L65,$A$7:$A$64,0),1),1,'設定'!$B$6,'設定'!$J$4:$J$53)),0),0))))</x:f>
        <x:v>46399</x:v>
      </x:c>
      <x:c r="P65" s="163" t="n">
        <x:f>IF(O65="","",WORKDAY.INTL(O65,N65-1,'設定'!$B$6,'設定'!$J$4:$J$53))</x:f>
        <x:v>46400</x:v>
      </x:c>
      <x:c r="Q65" s="169"/>
      <x:c r="R65" s="169"/>
      <x:c r="S65" s="143" t="n">
        <x:v>1</x:v>
      </x:c>
      <x:c r="T65" s="143" t="n">
        <x:v>0</x:v>
      </x:c>
      <x:c r="U65" s="175" t="n">
        <x:f>IFERROR(T65/S65,0)</x:f>
        <x:v>0</x:v>
      </x:c>
      <x:c r="V65" s="91" t="str">
        <x:f>IF(U65&gt;=1,IF(R65="","完了（実績日未確認）",IF(P65="","完了",IF(R65&gt;P65,"完了（遅延）","完了"))),IF(G65="04.保留","保留",IF(O65="","未計画",IF('設定'!$B$5&gt;P65,IF(G65="00.未確認","要確認（期限超過）","遅延"),IF('設定'!$B$5&gt;=O65,IF(G65="00.未確認","状況要確認",IF(Q65="","開始要確認","予定内")),"予定前")))))</x:f>
        <x:v>予定前</x:v>
      </x:c>
      <x:c r="W65" s="56" t="str">
        <x:v>41</x:v>
      </x:c>
      <x:c r="X65" s="56" t="str">
        <x:v>原資料展開</x:v>
      </x:c>
      <x:c r="Y65" s="56" t="str">
        <x:v>AccountContactの実行・依存・例外制御を含むPipeline</x:v>
      </x:c>
      <x:c r="Z65" s="56" t="str">
        <x:v>各OUTPUTテーブル1件。作業の直列化は仮置き。</x:v>
      </x:c>
      <x:c r="AA65" s="181" t="str">
        <x:f>IF(AND(IF(J65="",TRUE,COUNTIF($A$7:$A$64,J65)=1),IF(K65="",TRUE,COUNTIF($A$7:$A$64,K65)=1),IF(L65="",TRUE,COUNTIF($A$7:$A$64,L65)=1),COUNTIF($A$7:$A$107,A65)=1,AND(M65&gt;=1,MOD(M65,1)=0,N65&gt;=0,MOD(N65,1)=0,S65&gt;0,T65&gt;=0,T65&lt;=S65),OR(R65="",AND(Q65&lt;&gt;"",R65&gt;=Q65)),IF(OR(G65="05.完了",G65="06.完了（資料記載）"),U65=1,TRUE),IF(N65=0,U65=1,TRUE)),"OK","要確認")</x:f>
        <x:v>OK</x:v>
      </x:c>
    </x:row>
    <x:row r="66" ht="54" customHeight="1">
      <x:c r="A66" s="135" t="str">
        <x:v>00060</x:v>
      </x:c>
      <x:c r="B66" s="198" t="str">
        <x:v>04.開発</x:v>
      </x:c>
      <x:c r="C66" s="48" t="str">
        <x:v>SalesRepHospital：GoldPipeline作成</x:v>
      </x:c>
      <x:c r="D66" s="85" t="str">
        <x:v>開発担当（要確定）</x:v>
      </x:c>
      <x:c r="E66" s="48" t="str">
        <x:v>GoldPipeline</x:v>
      </x:c>
      <x:c r="F66" s="143" t="str">
        <x:v>2.中</x:v>
      </x:c>
      <x:c r="G66" s="85" t="str">
        <x:v>00.未確認</x:v>
      </x:c>
      <x:c r="H66" s="149" t="str">
        <x:v>開発</x:v>
      </x:c>
      <x:c r="I66" s="48" t="str">
        <x:v>SalesRepHospital</x:v>
      </x:c>
      <x:c r="J66" s="157" t="str">
        <x:v>00055</x:v>
      </x:c>
      <x:c r="K66" s="157" t="str">
        <x:v>00049</x:v>
      </x:c>
      <x:c r="L66" s="157" t="str">
        <x:v>00059</x:v>
      </x:c>
      <x:c r="M66" s="143" t="n">
        <x:v>1</x:v>
      </x:c>
      <x:c r="N66" s="143" t="n">
        <x:v>2</x:v>
      </x:c>
      <x:c r="O66" s="163" t="n">
        <x:f>IF(OR('設定'!$B$4="",N66=0),"",MAX(WORKDAY.INTL('設定'!$B$4-1,M66,'設定'!$B$6,'設定'!$J$4:$J$53),IF(J66="",0,IF(COUNTIF($A$7:$A$65,J66)=1,IFERROR(IF(INDEX($P$7:$P$65,MATCH(J66,$A$7:$A$65,0),1)=0,0,WORKDAY.INTL(INDEX($P$7:$P$65,MATCH(J66,$A$7:$A$65,0),1),1,'設定'!$B$6,'設定'!$J$4:$J$53)),0),0)),IF(K66="",0,IF(COUNTIF($A$7:$A$65,K66)=1,IFERROR(IF(INDEX($P$7:$P$65,MATCH(K66,$A$7:$A$65,0),1)=0,0,WORKDAY.INTL(INDEX($P$7:$P$65,MATCH(K66,$A$7:$A$65,0),1),1,'設定'!$B$6,'設定'!$J$4:$J$53)),0),0)),IF(L66="",0,IF(COUNTIF($A$7:$A$65,L66)=1,IFERROR(IF(INDEX($P$7:$P$65,MATCH(L66,$A$7:$A$65,0),1)=0,0,WORKDAY.INTL(INDEX($P$7:$P$65,MATCH(L66,$A$7:$A$65,0),1),1,'設定'!$B$6,'設定'!$J$4:$J$53)),0),0))))</x:f>
        <x:v>46401</x:v>
      </x:c>
      <x:c r="P66" s="163" t="n">
        <x:f>IF(O66="","",WORKDAY.INTL(O66,N66-1,'設定'!$B$6,'設定'!$J$4:$J$53))</x:f>
        <x:v>46402</x:v>
      </x:c>
      <x:c r="Q66" s="169"/>
      <x:c r="R66" s="169"/>
      <x:c r="S66" s="143" t="n">
        <x:v>1</x:v>
      </x:c>
      <x:c r="T66" s="143" t="n">
        <x:v>0</x:v>
      </x:c>
      <x:c r="U66" s="175" t="n">
        <x:f>IFERROR(T66/S66,0)</x:f>
        <x:v>0</x:v>
      </x:c>
      <x:c r="V66" s="91" t="str">
        <x:f>IF(U66&gt;=1,IF(R66="","完了（実績日未確認）",IF(P66="","完了",IF(R66&gt;P66,"完了（遅延）","完了"))),IF(G66="04.保留","保留",IF(O66="","未計画",IF('設定'!$B$5&gt;P66,IF(G66="00.未確認","要確認（期限超過）","遅延"),IF('設定'!$B$5&gt;=O66,IF(G66="00.未確認","状況要確認",IF(Q66="","開始要確認","予定内")),"予定前")))))</x:f>
        <x:v>予定前</x:v>
      </x:c>
      <x:c r="W66" s="48" t="str">
        <x:v>41</x:v>
      </x:c>
      <x:c r="X66" s="48" t="str">
        <x:v>原資料展開</x:v>
      </x:c>
      <x:c r="Y66" s="48" t="str">
        <x:v>SalesRepHospitalの実行・依存・例外制御を含むPipeline</x:v>
      </x:c>
      <x:c r="Z66" s="48" t="str">
        <x:v>各OUTPUTテーブル1件。作業の直列化は仮置き。</x:v>
      </x:c>
      <x:c r="AA66" s="181" t="str">
        <x:f>IF(AND(IF(J66="",TRUE,COUNTIF($A$7:$A$65,J66)=1),IF(K66="",TRUE,COUNTIF($A$7:$A$65,K66)=1),IF(L66="",TRUE,COUNTIF($A$7:$A$65,L66)=1),COUNTIF($A$7:$A$107,A66)=1,AND(M66&gt;=1,MOD(M66,1)=0,N66&gt;=0,MOD(N66,1)=0,S66&gt;0,T66&gt;=0,T66&lt;=S66),OR(R66="",AND(Q66&lt;&gt;"",R66&gt;=Q66)),IF(OR(G66="05.完了",G66="06.完了（資料記載）"),U66=1,TRUE),IF(N66=0,U66=1,TRUE)),"OK","要確認")</x:f>
        <x:v>OK</x:v>
      </x:c>
    </x:row>
    <x:row r="67" ht="54" customHeight="1">
      <x:c r="A67" s="136" t="str">
        <x:v>00061</x:v>
      </x:c>
      <x:c r="B67" s="198" t="str">
        <x:v>04.開発</x:v>
      </x:c>
      <x:c r="C67" s="56" t="str">
        <x:v>Product：Outputのstg・tgtテーブル作成</x:v>
      </x:c>
      <x:c r="D67" s="85" t="str">
        <x:v>開発担当（要確定）</x:v>
      </x:c>
      <x:c r="E67" s="56" t="str">
        <x:v>OutputLakehouse</x:v>
      </x:c>
      <x:c r="F67" s="143" t="str">
        <x:v>2.中</x:v>
      </x:c>
      <x:c r="G67" s="85" t="str">
        <x:v>00.未確認</x:v>
      </x:c>
      <x:c r="H67" s="150" t="str">
        <x:v>開発</x:v>
      </x:c>
      <x:c r="I67" s="56" t="str">
        <x:v>Product</x:v>
      </x:c>
      <x:c r="J67" s="157" t="str">
        <x:v>00051</x:v>
      </x:c>
      <x:c r="K67" s="157" t="str">
        <x:v>00046</x:v>
      </x:c>
      <x:c r="L67" s="157" t="str"/>
      <x:c r="M67" s="143" t="n">
        <x:v>1</x:v>
      </x:c>
      <x:c r="N67" s="143" t="n">
        <x:v>2</x:v>
      </x:c>
      <x:c r="O67" s="163" t="n">
        <x:f>IF(OR('設定'!$B$4="",N67=0),"",MAX(WORKDAY.INTL('設定'!$B$4-1,M67,'設定'!$B$6,'設定'!$J$4:$J$53),IF(J67="",0,IF(COUNTIF($A$7:$A$66,J67)=1,IFERROR(IF(INDEX($P$7:$P$66,MATCH(J67,$A$7:$A$66,0),1)=0,0,WORKDAY.INTL(INDEX($P$7:$P$66,MATCH(J67,$A$7:$A$66,0),1),1,'設定'!$B$6,'設定'!$J$4:$J$53)),0),0)),IF(K67="",0,IF(COUNTIF($A$7:$A$66,K67)=1,IFERROR(IF(INDEX($P$7:$P$66,MATCH(K67,$A$7:$A$66,0),1)=0,0,WORKDAY.INTL(INDEX($P$7:$P$66,MATCH(K67,$A$7:$A$66,0),1),1,'設定'!$B$6,'設定'!$J$4:$J$53)),0),0)),IF(L67="",0,IF(COUNTIF($A$7:$A$66,L67)=1,IFERROR(IF(INDEX($P$7:$P$66,MATCH(L67,$A$7:$A$66,0),1)=0,0,WORKDAY.INTL(INDEX($P$7:$P$66,MATCH(L67,$A$7:$A$66,0),1),1,'設定'!$B$6,'設定'!$J$4:$J$53)),0),0))))</x:f>
        <x:v>46391</x:v>
      </x:c>
      <x:c r="P67" s="163" t="n">
        <x:f>IF(O67="","",WORKDAY.INTL(O67,N67-1,'設定'!$B$6,'設定'!$J$4:$J$53))</x:f>
        <x:v>46392</x:v>
      </x:c>
      <x:c r="Q67" s="169"/>
      <x:c r="R67" s="169"/>
      <x:c r="S67" s="143" t="n">
        <x:v>1</x:v>
      </x:c>
      <x:c r="T67" s="143" t="n">
        <x:v>0</x:v>
      </x:c>
      <x:c r="U67" s="175" t="n">
        <x:f>IFERROR(T67/S67,0)</x:f>
        <x:v>0</x:v>
      </x:c>
      <x:c r="V67" s="91" t="str">
        <x:f>IF(U67&gt;=1,IF(R67="","完了（実績日未確認）",IF(P67="","完了",IF(R67&gt;P67,"完了（遅延）","完了"))),IF(G67="04.保留","保留",IF(O67="","未計画",IF('設定'!$B$5&gt;P67,IF(G67="00.未確認","要確認（期限超過）","遅延"),IF('設定'!$B$5&gt;=O67,IF(G67="00.未確認","状況要確認",IF(Q67="","開始要確認","予定内")),"予定前")))))</x:f>
        <x:v>予定前</x:v>
      </x:c>
      <x:c r="W67" s="56" t="str">
        <x:v>48</x:v>
      </x:c>
      <x:c r="X67" s="56" t="str">
        <x:v>原資料展開</x:v>
      </x:c>
      <x:c r="Y67" s="56" t="str">
        <x:v>Productのstg・tgtの1組</x:v>
      </x:c>
      <x:c r="Z67" s="56" t="str">
        <x:v>総数量1はstg・tgtの1組。物理テーブル総数とは区別。</x:v>
      </x:c>
      <x:c r="AA67" s="181" t="str">
        <x:f>IF(AND(IF(J67="",TRUE,COUNTIF($A$7:$A$66,J67)=1),IF(K67="",TRUE,COUNTIF($A$7:$A$66,K67)=1),IF(L67="",TRUE,COUNTIF($A$7:$A$66,L67)=1),COUNTIF($A$7:$A$107,A67)=1,AND(M67&gt;=1,MOD(M67,1)=0,N67&gt;=0,MOD(N67,1)=0,S67&gt;0,T67&gt;=0,T67&lt;=S67),OR(R67="",AND(Q67&lt;&gt;"",R67&gt;=Q67)),IF(OR(G67="05.完了",G67="06.完了（資料記載）"),U67=1,TRUE),IF(N67=0,U67=1,TRUE)),"OK","要確認")</x:f>
        <x:v>OK</x:v>
      </x:c>
    </x:row>
    <x:row r="68" ht="54" customHeight="1">
      <x:c r="A68" s="135" t="str">
        <x:v>00062</x:v>
      </x:c>
      <x:c r="B68" s="198" t="str">
        <x:v>04.開発</x:v>
      </x:c>
      <x:c r="C68" s="48" t="str">
        <x:v>Contact：Outputのstg・tgtテーブル作成</x:v>
      </x:c>
      <x:c r="D68" s="85" t="str">
        <x:v>開発担当（要確定）</x:v>
      </x:c>
      <x:c r="E68" s="48" t="str">
        <x:v>OutputLakehouse</x:v>
      </x:c>
      <x:c r="F68" s="143" t="str">
        <x:v>2.中</x:v>
      </x:c>
      <x:c r="G68" s="85" t="str">
        <x:v>00.未確認</x:v>
      </x:c>
      <x:c r="H68" s="149" t="str">
        <x:v>開発</x:v>
      </x:c>
      <x:c r="I68" s="48" t="str">
        <x:v>Contact</x:v>
      </x:c>
      <x:c r="J68" s="157" t="str">
        <x:v>00052</x:v>
      </x:c>
      <x:c r="K68" s="157" t="str">
        <x:v>00046</x:v>
      </x:c>
      <x:c r="L68" s="157" t="str">
        <x:v>00061</x:v>
      </x:c>
      <x:c r="M68" s="143" t="n">
        <x:v>1</x:v>
      </x:c>
      <x:c r="N68" s="143" t="n">
        <x:v>2</x:v>
      </x:c>
      <x:c r="O68" s="163" t="n">
        <x:f>IF(OR('設定'!$B$4="",N68=0),"",MAX(WORKDAY.INTL('設定'!$B$4-1,M68,'設定'!$B$6,'設定'!$J$4:$J$53),IF(J68="",0,IF(COUNTIF($A$7:$A$67,J68)=1,IFERROR(IF(INDEX($P$7:$P$67,MATCH(J68,$A$7:$A$67,0),1)=0,0,WORKDAY.INTL(INDEX($P$7:$P$67,MATCH(J68,$A$7:$A$67,0),1),1,'設定'!$B$6,'設定'!$J$4:$J$53)),0),0)),IF(K68="",0,IF(COUNTIF($A$7:$A$67,K68)=1,IFERROR(IF(INDEX($P$7:$P$67,MATCH(K68,$A$7:$A$67,0),1)=0,0,WORKDAY.INTL(INDEX($P$7:$P$67,MATCH(K68,$A$7:$A$67,0),1),1,'設定'!$B$6,'設定'!$J$4:$J$53)),0),0)),IF(L68="",0,IF(COUNTIF($A$7:$A$67,L68)=1,IFERROR(IF(INDEX($P$7:$P$67,MATCH(L68,$A$7:$A$67,0),1)=0,0,WORKDAY.INTL(INDEX($P$7:$P$67,MATCH(L68,$A$7:$A$67,0),1),1,'設定'!$B$6,'設定'!$J$4:$J$53)),0),0))))</x:f>
        <x:v>46393</x:v>
      </x:c>
      <x:c r="P68" s="163" t="n">
        <x:f>IF(O68="","",WORKDAY.INTL(O68,N68-1,'設定'!$B$6,'設定'!$J$4:$J$53))</x:f>
        <x:v>46394</x:v>
      </x:c>
      <x:c r="Q68" s="169"/>
      <x:c r="R68" s="169"/>
      <x:c r="S68" s="143" t="n">
        <x:v>1</x:v>
      </x:c>
      <x:c r="T68" s="143" t="n">
        <x:v>0</x:v>
      </x:c>
      <x:c r="U68" s="175" t="n">
        <x:f>IFERROR(T68/S68,0)</x:f>
        <x:v>0</x:v>
      </x:c>
      <x:c r="V68" s="91" t="str">
        <x:f>IF(U68&gt;=1,IF(R68="","完了（実績日未確認）",IF(P68="","完了",IF(R68&gt;P68,"完了（遅延）","完了"))),IF(G68="04.保留","保留",IF(O68="","未計画",IF('設定'!$B$5&gt;P68,IF(G68="00.未確認","要確認（期限超過）","遅延"),IF('設定'!$B$5&gt;=O68,IF(G68="00.未確認","状況要確認",IF(Q68="","開始要確認","予定内")),"予定前")))))</x:f>
        <x:v>予定前</x:v>
      </x:c>
      <x:c r="W68" s="48" t="str">
        <x:v>48</x:v>
      </x:c>
      <x:c r="X68" s="48" t="str">
        <x:v>原資料展開</x:v>
      </x:c>
      <x:c r="Y68" s="48" t="str">
        <x:v>Contactのstg・tgtの1組</x:v>
      </x:c>
      <x:c r="Z68" s="48" t="str">
        <x:v>総数量1はstg・tgtの1組。物理テーブル総数とは区別。</x:v>
      </x:c>
      <x:c r="AA68" s="181" t="str">
        <x:f>IF(AND(IF(J68="",TRUE,COUNTIF($A$7:$A$67,J68)=1),IF(K68="",TRUE,COUNTIF($A$7:$A$67,K68)=1),IF(L68="",TRUE,COUNTIF($A$7:$A$67,L68)=1),COUNTIF($A$7:$A$107,A68)=1,AND(M68&gt;=1,MOD(M68,1)=0,N68&gt;=0,MOD(N68,1)=0,S68&gt;0,T68&gt;=0,T68&lt;=S68),OR(R68="",AND(Q68&lt;&gt;"",R68&gt;=Q68)),IF(OR(G68="05.完了",G68="06.完了（資料記載）"),U68=1,TRUE),IF(N68=0,U68=1,TRUE)),"OK","要確認")</x:f>
        <x:v>OK</x:v>
      </x:c>
    </x:row>
    <x:row r="69" ht="54" customHeight="1">
      <x:c r="A69" s="136" t="str">
        <x:v>00063</x:v>
      </x:c>
      <x:c r="B69" s="198" t="str">
        <x:v>04.開発</x:v>
      </x:c>
      <x:c r="C69" s="56" t="str">
        <x:v>Account：Outputのstg・tgtテーブル作成</x:v>
      </x:c>
      <x:c r="D69" s="85" t="str">
        <x:v>開発担当（要確定）</x:v>
      </x:c>
      <x:c r="E69" s="56" t="str">
        <x:v>OutputLakehouse</x:v>
      </x:c>
      <x:c r="F69" s="143" t="str">
        <x:v>2.中</x:v>
      </x:c>
      <x:c r="G69" s="85" t="str">
        <x:v>00.未確認</x:v>
      </x:c>
      <x:c r="H69" s="150" t="str">
        <x:v>開発</x:v>
      </x:c>
      <x:c r="I69" s="56" t="str">
        <x:v>Account</x:v>
      </x:c>
      <x:c r="J69" s="157" t="str">
        <x:v>00053</x:v>
      </x:c>
      <x:c r="K69" s="157" t="str">
        <x:v>00046</x:v>
      </x:c>
      <x:c r="L69" s="157" t="str">
        <x:v>00062</x:v>
      </x:c>
      <x:c r="M69" s="143" t="n">
        <x:v>1</x:v>
      </x:c>
      <x:c r="N69" s="143" t="n">
        <x:v>2</x:v>
      </x:c>
      <x:c r="O69" s="163" t="n">
        <x:f>IF(OR('設定'!$B$4="",N69=0),"",MAX(WORKDAY.INTL('設定'!$B$4-1,M69,'設定'!$B$6,'設定'!$J$4:$J$53),IF(J69="",0,IF(COUNTIF($A$7:$A$68,J69)=1,IFERROR(IF(INDEX($P$7:$P$68,MATCH(J69,$A$7:$A$68,0),1)=0,0,WORKDAY.INTL(INDEX($P$7:$P$68,MATCH(J69,$A$7:$A$68,0),1),1,'設定'!$B$6,'設定'!$J$4:$J$53)),0),0)),IF(K69="",0,IF(COUNTIF($A$7:$A$68,K69)=1,IFERROR(IF(INDEX($P$7:$P$68,MATCH(K69,$A$7:$A$68,0),1)=0,0,WORKDAY.INTL(INDEX($P$7:$P$68,MATCH(K69,$A$7:$A$68,0),1),1,'設定'!$B$6,'設定'!$J$4:$J$53)),0),0)),IF(L69="",0,IF(COUNTIF($A$7:$A$68,L69)=1,IFERROR(IF(INDEX($P$7:$P$68,MATCH(L69,$A$7:$A$68,0),1)=0,0,WORKDAY.INTL(INDEX($P$7:$P$68,MATCH(L69,$A$7:$A$68,0),1),1,'設定'!$B$6,'設定'!$J$4:$J$53)),0),0))))</x:f>
        <x:v>46395</x:v>
      </x:c>
      <x:c r="P69" s="163" t="n">
        <x:f>IF(O69="","",WORKDAY.INTL(O69,N69-1,'設定'!$B$6,'設定'!$J$4:$J$53))</x:f>
        <x:v>46398</x:v>
      </x:c>
      <x:c r="Q69" s="169"/>
      <x:c r="R69" s="169"/>
      <x:c r="S69" s="143" t="n">
        <x:v>1</x:v>
      </x:c>
      <x:c r="T69" s="143" t="n">
        <x:v>0</x:v>
      </x:c>
      <x:c r="U69" s="175" t="n">
        <x:f>IFERROR(T69/S69,0)</x:f>
        <x:v>0</x:v>
      </x:c>
      <x:c r="V69" s="91" t="str">
        <x:f>IF(U69&gt;=1,IF(R69="","完了（実績日未確認）",IF(P69="","完了",IF(R69&gt;P69,"完了（遅延）","完了"))),IF(G69="04.保留","保留",IF(O69="","未計画",IF('設定'!$B$5&gt;P69,IF(G69="00.未確認","要確認（期限超過）","遅延"),IF('設定'!$B$5&gt;=O69,IF(G69="00.未確認","状況要確認",IF(Q69="","開始要確認","予定内")),"予定前")))))</x:f>
        <x:v>予定前</x:v>
      </x:c>
      <x:c r="W69" s="56" t="str">
        <x:v>48</x:v>
      </x:c>
      <x:c r="X69" s="56" t="str">
        <x:v>原資料展開</x:v>
      </x:c>
      <x:c r="Y69" s="56" t="str">
        <x:v>Accountのstg・tgtの1組</x:v>
      </x:c>
      <x:c r="Z69" s="56" t="str">
        <x:v>総数量1はstg・tgtの1組。物理テーブル総数とは区別。</x:v>
      </x:c>
      <x:c r="AA69" s="181" t="str">
        <x:f>IF(AND(IF(J69="",TRUE,COUNTIF($A$7:$A$68,J69)=1),IF(K69="",TRUE,COUNTIF($A$7:$A$68,K69)=1),IF(L69="",TRUE,COUNTIF($A$7:$A$68,L69)=1),COUNTIF($A$7:$A$107,A69)=1,AND(M69&gt;=1,MOD(M69,1)=0,N69&gt;=0,MOD(N69,1)=0,S69&gt;0,T69&gt;=0,T69&lt;=S69),OR(R69="",AND(Q69&lt;&gt;"",R69&gt;=Q69)),IF(OR(G69="05.完了",G69="06.完了（資料記載）"),U69=1,TRUE),IF(N69=0,U69=1,TRUE)),"OK","要確認")</x:f>
        <x:v>OK</x:v>
      </x:c>
    </x:row>
    <x:row r="70" ht="54" customHeight="1">
      <x:c r="A70" s="135" t="str">
        <x:v>00064</x:v>
      </x:c>
      <x:c r="B70" s="198" t="str">
        <x:v>04.開発</x:v>
      </x:c>
      <x:c r="C70" s="48" t="str">
        <x:v>AccountContact：Outputのstg・tgtテーブル作成</x:v>
      </x:c>
      <x:c r="D70" s="85" t="str">
        <x:v>開発担当（要確定）</x:v>
      </x:c>
      <x:c r="E70" s="48" t="str">
        <x:v>OutputLakehouse</x:v>
      </x:c>
      <x:c r="F70" s="143" t="str">
        <x:v>2.中</x:v>
      </x:c>
      <x:c r="G70" s="85" t="str">
        <x:v>00.未確認</x:v>
      </x:c>
      <x:c r="H70" s="149" t="str">
        <x:v>開発</x:v>
      </x:c>
      <x:c r="I70" s="48" t="str">
        <x:v>AccountContact</x:v>
      </x:c>
      <x:c r="J70" s="157" t="str">
        <x:v>00054</x:v>
      </x:c>
      <x:c r="K70" s="157" t="str">
        <x:v>00046</x:v>
      </x:c>
      <x:c r="L70" s="157" t="str">
        <x:v>00063</x:v>
      </x:c>
      <x:c r="M70" s="143" t="n">
        <x:v>1</x:v>
      </x:c>
      <x:c r="N70" s="143" t="n">
        <x:v>2</x:v>
      </x:c>
      <x:c r="O70" s="163" t="n">
        <x:f>IF(OR('設定'!$B$4="",N70=0),"",MAX(WORKDAY.INTL('設定'!$B$4-1,M70,'設定'!$B$6,'設定'!$J$4:$J$53),IF(J70="",0,IF(COUNTIF($A$7:$A$69,J70)=1,IFERROR(IF(INDEX($P$7:$P$69,MATCH(J70,$A$7:$A$69,0),1)=0,0,WORKDAY.INTL(INDEX($P$7:$P$69,MATCH(J70,$A$7:$A$69,0),1),1,'設定'!$B$6,'設定'!$J$4:$J$53)),0),0)),IF(K70="",0,IF(COUNTIF($A$7:$A$69,K70)=1,IFERROR(IF(INDEX($P$7:$P$69,MATCH(K70,$A$7:$A$69,0),1)=0,0,WORKDAY.INTL(INDEX($P$7:$P$69,MATCH(K70,$A$7:$A$69,0),1),1,'設定'!$B$6,'設定'!$J$4:$J$53)),0),0)),IF(L70="",0,IF(COUNTIF($A$7:$A$69,L70)=1,IFERROR(IF(INDEX($P$7:$P$69,MATCH(L70,$A$7:$A$69,0),1)=0,0,WORKDAY.INTL(INDEX($P$7:$P$69,MATCH(L70,$A$7:$A$69,0),1),1,'設定'!$B$6,'設定'!$J$4:$J$53)),0),0))))</x:f>
        <x:v>46399</x:v>
      </x:c>
      <x:c r="P70" s="163" t="n">
        <x:f>IF(O70="","",WORKDAY.INTL(O70,N70-1,'設定'!$B$6,'設定'!$J$4:$J$53))</x:f>
        <x:v>46400</x:v>
      </x:c>
      <x:c r="Q70" s="169"/>
      <x:c r="R70" s="169"/>
      <x:c r="S70" s="143" t="n">
        <x:v>1</x:v>
      </x:c>
      <x:c r="T70" s="143" t="n">
        <x:v>0</x:v>
      </x:c>
      <x:c r="U70" s="175" t="n">
        <x:f>IFERROR(T70/S70,0)</x:f>
        <x:v>0</x:v>
      </x:c>
      <x:c r="V70" s="91" t="str">
        <x:f>IF(U70&gt;=1,IF(R70="","完了（実績日未確認）",IF(P70="","完了",IF(R70&gt;P70,"完了（遅延）","完了"))),IF(G70="04.保留","保留",IF(O70="","未計画",IF('設定'!$B$5&gt;P70,IF(G70="00.未確認","要確認（期限超過）","遅延"),IF('設定'!$B$5&gt;=O70,IF(G70="00.未確認","状況要確認",IF(Q70="","開始要確認","予定内")),"予定前")))))</x:f>
        <x:v>予定前</x:v>
      </x:c>
      <x:c r="W70" s="48" t="str">
        <x:v>48</x:v>
      </x:c>
      <x:c r="X70" s="48" t="str">
        <x:v>原資料展開</x:v>
      </x:c>
      <x:c r="Y70" s="48" t="str">
        <x:v>AccountContactのstg・tgtの1組</x:v>
      </x:c>
      <x:c r="Z70" s="48" t="str">
        <x:v>総数量1はstg・tgtの1組。物理テーブル総数とは区別。</x:v>
      </x:c>
      <x:c r="AA70" s="181" t="str">
        <x:f>IF(AND(IF(J70="",TRUE,COUNTIF($A$7:$A$69,J70)=1),IF(K70="",TRUE,COUNTIF($A$7:$A$69,K70)=1),IF(L70="",TRUE,COUNTIF($A$7:$A$69,L70)=1),COUNTIF($A$7:$A$107,A70)=1,AND(M70&gt;=1,MOD(M70,1)=0,N70&gt;=0,MOD(N70,1)=0,S70&gt;0,T70&gt;=0,T70&lt;=S70),OR(R70="",AND(Q70&lt;&gt;"",R70&gt;=Q70)),IF(OR(G70="05.完了",G70="06.完了（資料記載）"),U70=1,TRUE),IF(N70=0,U70=1,TRUE)),"OK","要確認")</x:f>
        <x:v>OK</x:v>
      </x:c>
    </x:row>
    <x:row r="71" ht="54" customHeight="1">
      <x:c r="A71" s="136" t="str">
        <x:v>00065</x:v>
      </x:c>
      <x:c r="B71" s="198" t="str">
        <x:v>04.開発</x:v>
      </x:c>
      <x:c r="C71" s="56" t="str">
        <x:v>SalesRepHospital：Outputのstg・tgtテーブル作成</x:v>
      </x:c>
      <x:c r="D71" s="85" t="str">
        <x:v>開発担当（要確定）</x:v>
      </x:c>
      <x:c r="E71" s="56" t="str">
        <x:v>OutputLakehouse</x:v>
      </x:c>
      <x:c r="F71" s="143" t="str">
        <x:v>2.中</x:v>
      </x:c>
      <x:c r="G71" s="85" t="str">
        <x:v>00.未確認</x:v>
      </x:c>
      <x:c r="H71" s="150" t="str">
        <x:v>開発</x:v>
      </x:c>
      <x:c r="I71" s="56" t="str">
        <x:v>SalesRepHospital</x:v>
      </x:c>
      <x:c r="J71" s="157" t="str">
        <x:v>00055</x:v>
      </x:c>
      <x:c r="K71" s="157" t="str">
        <x:v>00046</x:v>
      </x:c>
      <x:c r="L71" s="157" t="str">
        <x:v>00064</x:v>
      </x:c>
      <x:c r="M71" s="143" t="n">
        <x:v>1</x:v>
      </x:c>
      <x:c r="N71" s="143" t="n">
        <x:v>2</x:v>
      </x:c>
      <x:c r="O71" s="163" t="n">
        <x:f>IF(OR('設定'!$B$4="",N71=0),"",MAX(WORKDAY.INTL('設定'!$B$4-1,M71,'設定'!$B$6,'設定'!$J$4:$J$53),IF(J71="",0,IF(COUNTIF($A$7:$A$70,J71)=1,IFERROR(IF(INDEX($P$7:$P$70,MATCH(J71,$A$7:$A$70,0),1)=0,0,WORKDAY.INTL(INDEX($P$7:$P$70,MATCH(J71,$A$7:$A$70,0),1),1,'設定'!$B$6,'設定'!$J$4:$J$53)),0),0)),IF(K71="",0,IF(COUNTIF($A$7:$A$70,K71)=1,IFERROR(IF(INDEX($P$7:$P$70,MATCH(K71,$A$7:$A$70,0),1)=0,0,WORKDAY.INTL(INDEX($P$7:$P$70,MATCH(K71,$A$7:$A$70,0),1),1,'設定'!$B$6,'設定'!$J$4:$J$53)),0),0)),IF(L71="",0,IF(COUNTIF($A$7:$A$70,L71)=1,IFERROR(IF(INDEX($P$7:$P$70,MATCH(L71,$A$7:$A$70,0),1)=0,0,WORKDAY.INTL(INDEX($P$7:$P$70,MATCH(L71,$A$7:$A$70,0),1),1,'設定'!$B$6,'設定'!$J$4:$J$53)),0),0))))</x:f>
        <x:v>46401</x:v>
      </x:c>
      <x:c r="P71" s="163" t="n">
        <x:f>IF(O71="","",WORKDAY.INTL(O71,N71-1,'設定'!$B$6,'設定'!$J$4:$J$53))</x:f>
        <x:v>46402</x:v>
      </x:c>
      <x:c r="Q71" s="169"/>
      <x:c r="R71" s="169"/>
      <x:c r="S71" s="143" t="n">
        <x:v>1</x:v>
      </x:c>
      <x:c r="T71" s="143" t="n">
        <x:v>0</x:v>
      </x:c>
      <x:c r="U71" s="175" t="n">
        <x:f>IFERROR(T71/S71,0)</x:f>
        <x:v>0</x:v>
      </x:c>
      <x:c r="V71" s="91" t="str">
        <x:f>IF(U71&gt;=1,IF(R71="","完了（実績日未確認）",IF(P71="","完了",IF(R71&gt;P71,"完了（遅延）","完了"))),IF(G71="04.保留","保留",IF(O71="","未計画",IF('設定'!$B$5&gt;P71,IF(G71="00.未確認","要確認（期限超過）","遅延"),IF('設定'!$B$5&gt;=O71,IF(G71="00.未確認","状況要確認",IF(Q71="","開始要確認","予定内")),"予定前")))))</x:f>
        <x:v>予定前</x:v>
      </x:c>
      <x:c r="W71" s="56" t="str">
        <x:v>48</x:v>
      </x:c>
      <x:c r="X71" s="56" t="str">
        <x:v>原資料展開</x:v>
      </x:c>
      <x:c r="Y71" s="56" t="str">
        <x:v>SalesRepHospitalのstg・tgtの1組</x:v>
      </x:c>
      <x:c r="Z71" s="56" t="str">
        <x:v>総数量1はstg・tgtの1組。物理テーブル総数とは区別。</x:v>
      </x:c>
      <x:c r="AA71" s="181" t="str">
        <x:f>IF(AND(IF(J71="",TRUE,COUNTIF($A$7:$A$70,J71)=1),IF(K71="",TRUE,COUNTIF($A$7:$A$70,K71)=1),IF(L71="",TRUE,COUNTIF($A$7:$A$70,L71)=1),COUNTIF($A$7:$A$107,A71)=1,AND(M71&gt;=1,MOD(M71,1)=0,N71&gt;=0,MOD(N71,1)=0,S71&gt;0,T71&gt;=0,T71&lt;=S71),OR(R71="",AND(Q71&lt;&gt;"",R71&gt;=Q71)),IF(OR(G71="05.完了",G71="06.完了（資料記載）"),U71=1,TRUE),IF(N71=0,U71=1,TRUE)),"OK","要確認")</x:f>
        <x:v>OK</x:v>
      </x:c>
    </x:row>
    <x:row r="72" ht="54" customHeight="1">
      <x:c r="A72" s="135" t="str">
        <x:v>00066</x:v>
      </x:c>
      <x:c r="B72" s="198" t="str">
        <x:v>04.開発</x:v>
      </x:c>
      <x:c r="C72" s="48" t="str">
        <x:v>OutputLakehouse：Watermarkテーブル作成</x:v>
      </x:c>
      <x:c r="D72" s="85" t="str">
        <x:v>開発担当（要確定）</x:v>
      </x:c>
      <x:c r="E72" s="48" t="str">
        <x:v>OutputLakehouse</x:v>
      </x:c>
      <x:c r="F72" s="143" t="str">
        <x:v>2.中</x:v>
      </x:c>
      <x:c r="G72" s="85" t="str">
        <x:v>00.未確認</x:v>
      </x:c>
      <x:c r="H72" s="149" t="str">
        <x:v>開発</x:v>
      </x:c>
      <x:c r="I72" s="48" t="str">
        <x:v>共通</x:v>
      </x:c>
      <x:c r="J72" s="157" t="str">
        <x:v>00049</x:v>
      </x:c>
      <x:c r="K72" s="157" t="str">
        <x:v>00046</x:v>
      </x:c>
      <x:c r="L72" s="157" t="str"/>
      <x:c r="M72" s="143" t="n">
        <x:v>1</x:v>
      </x:c>
      <x:c r="N72" s="143" t="n">
        <x:v>2</x:v>
      </x:c>
      <x:c r="O72" s="163" t="n">
        <x:f>IF(OR('設定'!$B$4="",N72=0),"",MAX(WORKDAY.INTL('設定'!$B$4-1,M72,'設定'!$B$6,'設定'!$J$4:$J$53),IF(J72="",0,IF(COUNTIF($A$7:$A$71,J72)=1,IFERROR(IF(INDEX($P$7:$P$71,MATCH(J72,$A$7:$A$71,0),1)=0,0,WORKDAY.INTL(INDEX($P$7:$P$71,MATCH(J72,$A$7:$A$71,0),1),1,'設定'!$B$6,'設定'!$J$4:$J$53)),0),0)),IF(K72="",0,IF(COUNTIF($A$7:$A$71,K72)=1,IFERROR(IF(INDEX($P$7:$P$71,MATCH(K72,$A$7:$A$71,0),1)=0,0,WORKDAY.INTL(INDEX($P$7:$P$71,MATCH(K72,$A$7:$A$71,0),1),1,'設定'!$B$6,'設定'!$J$4:$J$53)),0),0)),IF(L72="",0,IF(COUNTIF($A$7:$A$71,L72)=1,IFERROR(IF(INDEX($P$7:$P$71,MATCH(L72,$A$7:$A$71,0),1)=0,0,WORKDAY.INTL(INDEX($P$7:$P$71,MATCH(L72,$A$7:$A$71,0),1),1,'設定'!$B$6,'設定'!$J$4:$J$53)),0),0))))</x:f>
        <x:v>46385</x:v>
      </x:c>
      <x:c r="P72" s="163" t="n">
        <x:f>IF(O72="","",WORKDAY.INTL(O72,N72-1,'設定'!$B$6,'設定'!$J$4:$J$53))</x:f>
        <x:v>46386</x:v>
      </x:c>
      <x:c r="Q72" s="169"/>
      <x:c r="R72" s="169"/>
      <x:c r="S72" s="143" t="n">
        <x:v>1</x:v>
      </x:c>
      <x:c r="T72" s="143" t="n">
        <x:v>0</x:v>
      </x:c>
      <x:c r="U72" s="175" t="n">
        <x:f>IFERROR(T72/S72,0)</x:f>
        <x:v>0</x:v>
      </x:c>
      <x:c r="V72" s="91" t="str">
        <x:f>IF(U72&gt;=1,IF(R72="","完了（実績日未確認）",IF(P72="","完了",IF(R72&gt;P72,"完了（遅延）","完了"))),IF(G72="04.保留","保留",IF(O72="","未計画",IF('設定'!$B$5&gt;P72,IF(G72="00.未確認","要確認（期限超過）","遅延"),IF('設定'!$B$5&gt;=O72,IF(G72="00.未確認","状況要確認",IF(Q72="","開始要確認","予定内")),"予定前")))))</x:f>
        <x:v>予定前</x:v>
      </x:c>
      <x:c r="W72" s="48" t="str">
        <x:v>48</x:v>
      </x:c>
      <x:c r="X72" s="48" t="str">
        <x:v>原資料展開</x:v>
      </x:c>
      <x:c r="Y72" s="48" t="str">
        <x:v>Watermarkテーブル・更新タイミング・再実行制御</x:v>
      </x:c>
      <x:c r="Z72" s="48" t="str"/>
      <x:c r="AA72" s="181" t="str">
        <x:f>IF(AND(IF(J72="",TRUE,COUNTIF($A$7:$A$71,J72)=1),IF(K72="",TRUE,COUNTIF($A$7:$A$71,K72)=1),IF(L72="",TRUE,COUNTIF($A$7:$A$71,L72)=1),COUNTIF($A$7:$A$107,A72)=1,AND(M72&gt;=1,MOD(M72,1)=0,N72&gt;=0,MOD(N72,1)=0,S72&gt;0,T72&gt;=0,T72&lt;=S72),OR(R72="",AND(Q72&lt;&gt;"",R72&gt;=Q72)),IF(OR(G72="05.完了",G72="06.完了（資料記載）"),U72=1,TRUE),IF(N72=0,U72=1,TRUE)),"OK","要確認")</x:f>
        <x:v>OK</x:v>
      </x:c>
    </x:row>
    <x:row r="73" ht="54" customHeight="1">
      <x:c r="A73" s="136" t="str">
        <x:v>00067</x:v>
      </x:c>
      <x:c r="B73" s="198" t="str">
        <x:v>04.開発</x:v>
      </x:c>
      <x:c r="C73" s="56" t="str">
        <x:v>OutputPipeline：Dataverseコピー用1件作成</x:v>
      </x:c>
      <x:c r="D73" s="85" t="str">
        <x:v>開発担当（要確定）</x:v>
      </x:c>
      <x:c r="E73" s="56" t="str">
        <x:v>OutputPipeline／Dataverse</x:v>
      </x:c>
      <x:c r="F73" s="143" t="str">
        <x:v>1.高</x:v>
      </x:c>
      <x:c r="G73" s="85" t="str">
        <x:v>00.未確認</x:v>
      </x:c>
      <x:c r="H73" s="150" t="str">
        <x:v>開発</x:v>
      </x:c>
      <x:c r="I73" s="56" t="str">
        <x:v>共通</x:v>
      </x:c>
      <x:c r="J73" s="157" t="str">
        <x:v>00028</x:v>
      </x:c>
      <x:c r="K73" s="157" t="str">
        <x:v>00066</x:v>
      </x:c>
      <x:c r="L73" s="157" t="str">
        <x:v>00065</x:v>
      </x:c>
      <x:c r="M73" s="143" t="n">
        <x:v>1</x:v>
      </x:c>
      <x:c r="N73" s="143" t="n">
        <x:v>3</x:v>
      </x:c>
      <x:c r="O73" s="163" t="n">
        <x:f>IF(OR('設定'!$B$4="",N73=0),"",MAX(WORKDAY.INTL('設定'!$B$4-1,M73,'設定'!$B$6,'設定'!$J$4:$J$53),IF(J73="",0,IF(COUNTIF($A$7:$A$72,J73)=1,IFERROR(IF(INDEX($P$7:$P$72,MATCH(J73,$A$7:$A$72,0),1)=0,0,WORKDAY.INTL(INDEX($P$7:$P$72,MATCH(J73,$A$7:$A$72,0),1),1,'設定'!$B$6,'設定'!$J$4:$J$53)),0),0)),IF(K73="",0,IF(COUNTIF($A$7:$A$72,K73)=1,IFERROR(IF(INDEX($P$7:$P$72,MATCH(K73,$A$7:$A$72,0),1)=0,0,WORKDAY.INTL(INDEX($P$7:$P$72,MATCH(K73,$A$7:$A$72,0),1),1,'設定'!$B$6,'設定'!$J$4:$J$53)),0),0)),IF(L73="",0,IF(COUNTIF($A$7:$A$72,L73)=1,IFERROR(IF(INDEX($P$7:$P$72,MATCH(L73,$A$7:$A$72,0),1)=0,0,WORKDAY.INTL(INDEX($P$7:$P$72,MATCH(L73,$A$7:$A$72,0),1),1,'設定'!$B$6,'設定'!$J$4:$J$53)),0),0))))</x:f>
        <x:v>46405</x:v>
      </x:c>
      <x:c r="P73" s="163" t="n">
        <x:f>IF(O73="","",WORKDAY.INTL(O73,N73-1,'設定'!$B$6,'設定'!$J$4:$J$53))</x:f>
        <x:v>46407</x:v>
      </x:c>
      <x:c r="Q73" s="169"/>
      <x:c r="R73" s="169"/>
      <x:c r="S73" s="143" t="n">
        <x:v>1</x:v>
      </x:c>
      <x:c r="T73" s="143" t="n">
        <x:v>0</x:v>
      </x:c>
      <x:c r="U73" s="175" t="n">
        <x:f>IFERROR(T73/S73,0)</x:f>
        <x:v>0</x:v>
      </x:c>
      <x:c r="V73" s="91" t="str">
        <x:f>IF(U73&gt;=1,IF(R73="","完了（実績日未確認）",IF(P73="","完了",IF(R73&gt;P73,"完了（遅延）","完了"))),IF(G73="04.保留","保留",IF(O73="","未計画",IF('設定'!$B$5&gt;P73,IF(G73="00.未確認","要確認（期限超過）","遅延"),IF('設定'!$B$5&gt;=O73,IF(G73="00.未確認","状況要確認",IF(Q73="","開始要確認","予定内")),"予定前")))))</x:f>
        <x:v>予定前</x:v>
      </x:c>
      <x:c r="W73" s="56" t="str">
        <x:v>49</x:v>
      </x:c>
      <x:c r="X73" s="56" t="str">
        <x:v>原資料展開</x:v>
      </x:c>
      <x:c r="Y73" s="56" t="str">
        <x:v>5テーブルの連携・失敗検知・再実行を含む出力Pipeline</x:v>
      </x:c>
      <x:c r="Z73" s="56" t="str"/>
      <x:c r="AA73" s="181" t="str">
        <x:f>IF(AND(IF(J73="",TRUE,COUNTIF($A$7:$A$72,J73)=1),IF(K73="",TRUE,COUNTIF($A$7:$A$72,K73)=1),IF(L73="",TRUE,COUNTIF($A$7:$A$72,L73)=1),COUNTIF($A$7:$A$107,A73)=1,AND(M73&gt;=1,MOD(M73,1)=0,N73&gt;=0,MOD(N73,1)=0,S73&gt;0,T73&gt;=0,T73&lt;=S73),OR(R73="",AND(Q73&lt;&gt;"",R73&gt;=Q73)),IF(OR(G73="05.完了",G73="06.完了（資料記載）"),U73=1,TRUE),IF(N73=0,U73=1,TRUE)),"OK","要確認")</x:f>
        <x:v>OK</x:v>
      </x:c>
    </x:row>
    <x:row r="74" ht="54" customHeight="1">
      <x:c r="A74" s="135" t="str">
        <x:v>00068</x:v>
      </x:c>
      <x:c r="B74" s="198" t="str">
        <x:v>04.開発</x:v>
      </x:c>
      <x:c r="C74" s="48" t="str">
        <x:v>開発成果物レビュー・QA実行準備</x:v>
      </x:c>
      <x:c r="D74" s="85" t="str">
        <x:v>開発リーダー（要確定）</x:v>
      </x:c>
      <x:c r="E74" s="48" t="str">
        <x:v>Fabric</x:v>
      </x:c>
      <x:c r="F74" s="143" t="str">
        <x:v>2.中</x:v>
      </x:c>
      <x:c r="G74" s="85" t="str">
        <x:v>00.未確認</x:v>
      </x:c>
      <x:c r="H74" s="149" t="str">
        <x:v>開発</x:v>
      </x:c>
      <x:c r="I74" s="48" t="str">
        <x:v>共通</x:v>
      </x:c>
      <x:c r="J74" s="157" t="str">
        <x:v>00067</x:v>
      </x:c>
      <x:c r="K74" s="157" t="str">
        <x:v>00060</x:v>
      </x:c>
      <x:c r="L74" s="157" t="str">
        <x:v>00037</x:v>
      </x:c>
      <x:c r="M74" s="143" t="n">
        <x:v>1</x:v>
      </x:c>
      <x:c r="N74" s="143" t="n">
        <x:v>2</x:v>
      </x:c>
      <x:c r="O74" s="163" t="n">
        <x:f>IF(OR('設定'!$B$4="",N74=0),"",MAX(WORKDAY.INTL('設定'!$B$4-1,M74,'設定'!$B$6,'設定'!$J$4:$J$53),IF(J74="",0,IF(COUNTIF($A$7:$A$73,J74)=1,IFERROR(IF(INDEX($P$7:$P$73,MATCH(J74,$A$7:$A$73,0),1)=0,0,WORKDAY.INTL(INDEX($P$7:$P$73,MATCH(J74,$A$7:$A$73,0),1),1,'設定'!$B$6,'設定'!$J$4:$J$53)),0),0)),IF(K74="",0,IF(COUNTIF($A$7:$A$73,K74)=1,IFERROR(IF(INDEX($P$7:$P$73,MATCH(K74,$A$7:$A$73,0),1)=0,0,WORKDAY.INTL(INDEX($P$7:$P$73,MATCH(K74,$A$7:$A$73,0),1),1,'設定'!$B$6,'設定'!$J$4:$J$53)),0),0)),IF(L74="",0,IF(COUNTIF($A$7:$A$73,L74)=1,IFERROR(IF(INDEX($P$7:$P$73,MATCH(L74,$A$7:$A$73,0),1)=0,0,WORKDAY.INTL(INDEX($P$7:$P$73,MATCH(L74,$A$7:$A$73,0),1),1,'設定'!$B$6,'設定'!$J$4:$J$53)),0),0))))</x:f>
        <x:v>46408</x:v>
      </x:c>
      <x:c r="P74" s="163" t="n">
        <x:f>IF(O74="","",WORKDAY.INTL(O74,N74-1,'設定'!$B$6,'設定'!$J$4:$J$53))</x:f>
        <x:v>46409</x:v>
      </x:c>
      <x:c r="Q74" s="169"/>
      <x:c r="R74" s="169"/>
      <x:c r="S74" s="143" t="n">
        <x:v>1</x:v>
      </x:c>
      <x:c r="T74" s="143" t="n">
        <x:v>0</x:v>
      </x:c>
      <x:c r="U74" s="175" t="n">
        <x:f>IFERROR(T74/S74,0)</x:f>
        <x:v>0</x:v>
      </x:c>
      <x:c r="V74" s="91" t="str">
        <x:f>IF(U74&gt;=1,IF(R74="","完了（実績日未確認）",IF(P74="","完了",IF(R74&gt;P74,"完了（遅延）","完了"))),IF(G74="04.保留","保留",IF(O74="","未計画",IF('設定'!$B$5&gt;P74,IF(G74="00.未確認","要確認（期限超過）","遅延"),IF('設定'!$B$5&gt;=O74,IF(G74="00.未確認","状況要確認",IF(Q74="","開始要確認","予定内")),"予定前")))))</x:f>
        <x:v>予定前</x:v>
      </x:c>
      <x:c r="W74" s="48" t="str">
        <x:v>41／45／48／49</x:v>
      </x:c>
      <x:c r="X74" s="48" t="str">
        <x:v>補足（開発完了判定）</x:v>
      </x:c>
      <x:c r="Y74" s="48" t="str">
        <x:v>開発レビュー記録・QAへの配置と設定確認</x:v>
      </x:c>
      <x:c r="Z74" s="48" t="str"/>
      <x:c r="AA74" s="181" t="str">
        <x:f>IF(AND(IF(J74="",TRUE,COUNTIF($A$7:$A$73,J74)=1),IF(K74="",TRUE,COUNTIF($A$7:$A$73,K74)=1),IF(L74="",TRUE,COUNTIF($A$7:$A$73,L74)=1),COUNTIF($A$7:$A$107,A74)=1,AND(M74&gt;=1,MOD(M74,1)=0,N74&gt;=0,MOD(N74,1)=0,S74&gt;0,T74&gt;=0,T74&lt;=S74),OR(R74="",AND(Q74&lt;&gt;"",R74&gt;=Q74)),IF(OR(G74="05.完了",G74="06.完了（資料記載）"),U74=1,TRUE),IF(N74=0,U74=1,TRUE)),"OK","要確認")</x:f>
        <x:v>OK</x:v>
      </x:c>
    </x:row>
    <x:row r="75" ht="54" customHeight="1">
      <x:c r="A75" s="136" t="str">
        <x:v>00069</x:v>
      </x:c>
      <x:c r="B75" s="200" t="str">
        <x:v>05.単体テスト</x:v>
      </x:c>
      <x:c r="C75" s="56" t="str">
        <x:v>単体・結合の試験仕様・データ・判定基準作成</x:v>
      </x:c>
      <x:c r="D75" s="85" t="str">
        <x:v>テスト担当（要確定）</x:v>
      </x:c>
      <x:c r="E75" s="56" t="str">
        <x:v>Fabric</x:v>
      </x:c>
      <x:c r="F75" s="143" t="str">
        <x:v>2.中</x:v>
      </x:c>
      <x:c r="G75" s="85" t="str">
        <x:v>00.未確認</x:v>
      </x:c>
      <x:c r="H75" s="150" t="str">
        <x:v>テスト</x:v>
      </x:c>
      <x:c r="I75" s="56" t="str">
        <x:v>共通</x:v>
      </x:c>
      <x:c r="J75" s="157" t="str">
        <x:v>00017</x:v>
      </x:c>
      <x:c r="K75" s="157" t="str">
        <x:v>00036</x:v>
      </x:c>
      <x:c r="L75" s="157" t="str">
        <x:v>00037</x:v>
      </x:c>
      <x:c r="M75" s="143" t="n">
        <x:v>1</x:v>
      </x:c>
      <x:c r="N75" s="143" t="n">
        <x:v>3</x:v>
      </x:c>
      <x:c r="O75" s="163" t="n">
        <x:f>IF(OR('設定'!$B$4="",N75=0),"",MAX(WORKDAY.INTL('設定'!$B$4-1,M75,'設定'!$B$6,'設定'!$J$4:$J$53),IF(J75="",0,IF(COUNTIF($A$7:$A$74,J75)=1,IFERROR(IF(INDEX($P$7:$P$74,MATCH(J75,$A$7:$A$74,0),1)=0,0,WORKDAY.INTL(INDEX($P$7:$P$74,MATCH(J75,$A$7:$A$74,0),1),1,'設定'!$B$6,'設定'!$J$4:$J$53)),0),0)),IF(K75="",0,IF(COUNTIF($A$7:$A$74,K75)=1,IFERROR(IF(INDEX($P$7:$P$74,MATCH(K75,$A$7:$A$74,0),1)=0,0,WORKDAY.INTL(INDEX($P$7:$P$74,MATCH(K75,$A$7:$A$74,0),1),1,'設定'!$B$6,'設定'!$J$4:$J$53)),0),0)),IF(L75="",0,IF(COUNTIF($A$7:$A$74,L75)=1,IFERROR(IF(INDEX($P$7:$P$74,MATCH(L75,$A$7:$A$74,0),1)=0,0,WORKDAY.INTL(INDEX($P$7:$P$74,MATCH(L75,$A$7:$A$74,0),1),1,'設定'!$B$6,'設定'!$J$4:$J$53)),0),0))))</x:f>
        <x:v>46364</x:v>
      </x:c>
      <x:c r="P75" s="163" t="n">
        <x:f>IF(O75="","",WORKDAY.INTL(O75,N75-1,'設定'!$B$6,'設定'!$J$4:$J$53))</x:f>
        <x:v>46366</x:v>
      </x:c>
      <x:c r="Q75" s="169"/>
      <x:c r="R75" s="169"/>
      <x:c r="S75" s="143" t="n">
        <x:v>1</x:v>
      </x:c>
      <x:c r="T75" s="143" t="n">
        <x:v>0</x:v>
      </x:c>
      <x:c r="U75" s="175" t="n">
        <x:f>IFERROR(T75/S75,0)</x:f>
        <x:v>0</x:v>
      </x:c>
      <x:c r="V75" s="91" t="str">
        <x:f>IF(U75&gt;=1,IF(R75="","完了（実績日未確認）",IF(P75="","完了",IF(R75&gt;P75,"完了（遅延）","完了"))),IF(G75="04.保留","保留",IF(O75="","未計画",IF('設定'!$B$5&gt;P75,IF(G75="00.未確認","要確認（期限超過）","遅延"),IF('設定'!$B$5&gt;=O75,IF(G75="00.未確認","状況要確認",IF(Q75="","開始要確認","予定内")),"予定前")))))</x:f>
        <x:v>予定前</x:v>
      </x:c>
      <x:c r="W75" s="56" t="str">
        <x:v>50／51／52／53／54／55／56／57／58</x:v>
      </x:c>
      <x:c r="X75" s="56" t="str">
        <x:v>補足（テスト準備）</x:v>
      </x:c>
      <x:c r="Y75" s="56" t="str">
        <x:v>テスト仕様・期待結果・データ・証跡取得方法</x:v>
      </x:c>
      <x:c r="Z75" s="56" t="str"/>
      <x:c r="AA75" s="181" t="str">
        <x:f>IF(AND(IF(J75="",TRUE,COUNTIF($A$7:$A$74,J75)=1),IF(K75="",TRUE,COUNTIF($A$7:$A$74,K75)=1),IF(L75="",TRUE,COUNTIF($A$7:$A$74,L75)=1),COUNTIF($A$7:$A$107,A75)=1,AND(M75&gt;=1,MOD(M75,1)=0,N75&gt;=0,MOD(N75,1)=0,S75&gt;0,T75&gt;=0,T75&lt;=S75),OR(R75="",AND(Q75&lt;&gt;"",R75&gt;=Q75)),IF(OR(G75="05.完了",G75="06.完了（資料記載）"),U75=1,TRUE),IF(N75=0,U75=1,TRUE)),"OK","要確認")</x:f>
        <x:v>OK</x:v>
      </x:c>
    </x:row>
    <x:row r="76" ht="54" customHeight="1">
      <x:c r="A76" s="135" t="str">
        <x:v>00070</x:v>
      </x:c>
      <x:c r="B76" s="200" t="str">
        <x:v>05.単体テスト</x:v>
      </x:c>
      <x:c r="C76" s="48" t="str">
        <x:v>BronzeLakehouse：追加テーブル単体テスト</x:v>
      </x:c>
      <x:c r="D76" s="85" t="str">
        <x:v>テスト担当（要確定）</x:v>
      </x:c>
      <x:c r="E76" s="48" t="str">
        <x:v>BronzeLakehouse</x:v>
      </x:c>
      <x:c r="F76" s="143" t="str">
        <x:v>2.中</x:v>
      </x:c>
      <x:c r="G76" s="85" t="str">
        <x:v>00.未確認</x:v>
      </x:c>
      <x:c r="H76" s="149" t="str">
        <x:v>テスト</x:v>
      </x:c>
      <x:c r="I76" s="48" t="str">
        <x:v>共通</x:v>
      </x:c>
      <x:c r="J76" s="157" t="str">
        <x:v>00069</x:v>
      </x:c>
      <x:c r="K76" s="157" t="str">
        <x:v>00042</x:v>
      </x:c>
      <x:c r="L76" s="157" t="str"/>
      <x:c r="M76" s="143" t="n">
        <x:v>1</x:v>
      </x:c>
      <x:c r="N76" s="143" t="n">
        <x:v>3</x:v>
      </x:c>
      <x:c r="O76" s="163" t="n">
        <x:f>IF(OR('設定'!$B$4="",N76=0),"",MAX(WORKDAY.INTL('設定'!$B$4-1,M76,'設定'!$B$6,'設定'!$J$4:$J$53),IF(J76="",0,IF(COUNTIF($A$7:$A$75,J76)=1,IFERROR(IF(INDEX($P$7:$P$75,MATCH(J76,$A$7:$A$75,0),1)=0,0,WORKDAY.INTL(INDEX($P$7:$P$75,MATCH(J76,$A$7:$A$75,0),1),1,'設定'!$B$6,'設定'!$J$4:$J$53)),0),0)),IF(K76="",0,IF(COUNTIF($A$7:$A$75,K76)=1,IFERROR(IF(INDEX($P$7:$P$75,MATCH(K76,$A$7:$A$75,0),1)=0,0,WORKDAY.INTL(INDEX($P$7:$P$75,MATCH(K76,$A$7:$A$75,0),1),1,'設定'!$B$6,'設定'!$J$4:$J$53)),0),0)),IF(L76="",0,IF(COUNTIF($A$7:$A$75,L76)=1,IFERROR(IF(INDEX($P$7:$P$75,MATCH(L76,$A$7:$A$75,0),1)=0,0,WORKDAY.INTL(INDEX($P$7:$P$75,MATCH(L76,$A$7:$A$75,0),1),1,'設定'!$B$6,'設定'!$J$4:$J$53)),0),0))))</x:f>
        <x:v>46367</x:v>
      </x:c>
      <x:c r="P76" s="163" t="n">
        <x:f>IF(O76="","",WORKDAY.INTL(O76,N76-1,'設定'!$B$6,'設定'!$J$4:$J$53))</x:f>
        <x:v>46371</x:v>
      </x:c>
      <x:c r="Q76" s="169"/>
      <x:c r="R76" s="169"/>
      <x:c r="S76" s="143" t="n">
        <x:v>1</x:v>
      </x:c>
      <x:c r="T76" s="143" t="n">
        <x:v>0</x:v>
      </x:c>
      <x:c r="U76" s="175" t="n">
        <x:f>IFERROR(T76/S76,0)</x:f>
        <x:v>0</x:v>
      </x:c>
      <x:c r="V76" s="91" t="str">
        <x:f>IF(U76&gt;=1,IF(R76="","完了（実績日未確認）",IF(P76="","完了",IF(R76&gt;P76,"完了（遅延）","完了"))),IF(G76="04.保留","保留",IF(O76="","未計画",IF('設定'!$B$5&gt;P76,IF(G76="00.未確認","要確認（期限超過）","遅延"),IF('設定'!$B$5&gt;=O76,IF(G76="00.未確認","状況要確認",IF(Q76="","開始要確認","予定内")),"予定前")))))</x:f>
        <x:v>予定前</x:v>
      </x:c>
      <x:c r="W76" s="48" t="str">
        <x:v>50</x:v>
      </x:c>
      <x:c r="X76" s="48" t="str">
        <x:v>原資料展開</x:v>
      </x:c>
      <x:c r="Y76" s="48" t="str">
        <x:v>追加テーブルの列・型・件数・値の照合エビデンス</x:v>
      </x:c>
      <x:c r="Z76" s="48" t="str">
        <x:v>対象数量・試験件数は追加テーブル確定後に設定。</x:v>
      </x:c>
      <x:c r="AA76" s="181" t="str">
        <x:f>IF(AND(IF(J76="",TRUE,COUNTIF($A$7:$A$75,J76)=1),IF(K76="",TRUE,COUNTIF($A$7:$A$75,K76)=1),IF(L76="",TRUE,COUNTIF($A$7:$A$75,L76)=1),COUNTIF($A$7:$A$107,A76)=1,AND(M76&gt;=1,MOD(M76,1)=0,N76&gt;=0,MOD(N76,1)=0,S76&gt;0,T76&gt;=0,T76&lt;=S76),OR(R76="",AND(Q76&lt;&gt;"",R76&gt;=Q76)),IF(OR(G76="05.完了",G76="06.完了（資料記載）"),U76=1,TRUE),IF(N76=0,U76=1,TRUE)),"OK","要確認")</x:f>
        <x:v>OK</x:v>
      </x:c>
    </x:row>
    <x:row r="77" ht="54" customHeight="1">
      <x:c r="A77" s="136" t="str">
        <x:v>00071</x:v>
      </x:c>
      <x:c r="B77" s="200" t="str">
        <x:v>05.単体テスト</x:v>
      </x:c>
      <x:c r="C77" s="56" t="str">
        <x:v>SilverLakehouse：追加テーブル単体テスト</x:v>
      </x:c>
      <x:c r="D77" s="85" t="str">
        <x:v>テスト担当（要確定）</x:v>
      </x:c>
      <x:c r="E77" s="56" t="str">
        <x:v>SilverLakehouse</x:v>
      </x:c>
      <x:c r="F77" s="143" t="str">
        <x:v>2.中</x:v>
      </x:c>
      <x:c r="G77" s="85" t="str">
        <x:v>00.未確認</x:v>
      </x:c>
      <x:c r="H77" s="150" t="str">
        <x:v>テスト</x:v>
      </x:c>
      <x:c r="I77" s="56" t="str">
        <x:v>共通</x:v>
      </x:c>
      <x:c r="J77" s="157" t="str">
        <x:v>00070</x:v>
      </x:c>
      <x:c r="K77" s="157" t="str">
        <x:v>00045</x:v>
      </x:c>
      <x:c r="L77" s="157" t="str"/>
      <x:c r="M77" s="143" t="n">
        <x:v>1</x:v>
      </x:c>
      <x:c r="N77" s="143" t="n">
        <x:v>3</x:v>
      </x:c>
      <x:c r="O77" s="163" t="n">
        <x:f>IF(OR('設定'!$B$4="",N77=0),"",MAX(WORKDAY.INTL('設定'!$B$4-1,M77,'設定'!$B$6,'設定'!$J$4:$J$53),IF(J77="",0,IF(COUNTIF($A$7:$A$76,J77)=1,IFERROR(IF(INDEX($P$7:$P$76,MATCH(J77,$A$7:$A$76,0),1)=0,0,WORKDAY.INTL(INDEX($P$7:$P$76,MATCH(J77,$A$7:$A$76,0),1),1,'設定'!$B$6,'設定'!$J$4:$J$53)),0),0)),IF(K77="",0,IF(COUNTIF($A$7:$A$76,K77)=1,IFERROR(IF(INDEX($P$7:$P$76,MATCH(K77,$A$7:$A$76,0),1)=0,0,WORKDAY.INTL(INDEX($P$7:$P$76,MATCH(K77,$A$7:$A$76,0),1),1,'設定'!$B$6,'設定'!$J$4:$J$53)),0),0)),IF(L77="",0,IF(COUNTIF($A$7:$A$76,L77)=1,IFERROR(IF(INDEX($P$7:$P$76,MATCH(L77,$A$7:$A$76,0),1)=0,0,WORKDAY.INTL(INDEX($P$7:$P$76,MATCH(L77,$A$7:$A$76,0),1),1,'設定'!$B$6,'設定'!$J$4:$J$53)),0),0))))</x:f>
        <x:v>46372</x:v>
      </x:c>
      <x:c r="P77" s="163" t="n">
        <x:f>IF(O77="","",WORKDAY.INTL(O77,N77-1,'設定'!$B$6,'設定'!$J$4:$J$53))</x:f>
        <x:v>46374</x:v>
      </x:c>
      <x:c r="Q77" s="169"/>
      <x:c r="R77" s="169"/>
      <x:c r="S77" s="143" t="n">
        <x:v>1</x:v>
      </x:c>
      <x:c r="T77" s="143" t="n">
        <x:v>0</x:v>
      </x:c>
      <x:c r="U77" s="175" t="n">
        <x:f>IFERROR(T77/S77,0)</x:f>
        <x:v>0</x:v>
      </x:c>
      <x:c r="V77" s="91" t="str">
        <x:f>IF(U77&gt;=1,IF(R77="","完了（実績日未確認）",IF(P77="","完了",IF(R77&gt;P77,"完了（遅延）","完了"))),IF(G77="04.保留","保留",IF(O77="","未計画",IF('設定'!$B$5&gt;P77,IF(G77="00.未確認","要確認（期限超過）","遅延"),IF('設定'!$B$5&gt;=O77,IF(G77="00.未確認","状況要確認",IF(Q77="","開始要確認","予定内")),"予定前")))))</x:f>
        <x:v>予定前</x:v>
      </x:c>
      <x:c r="W77" s="56" t="str">
        <x:v>51</x:v>
      </x:c>
      <x:c r="X77" s="56" t="str">
        <x:v>原資料展開</x:v>
      </x:c>
      <x:c r="Y77" s="56" t="str">
        <x:v>整形・追加列・結合結果の単体テスト記録</x:v>
      </x:c>
      <x:c r="Z77" s="56" t="str"/>
      <x:c r="AA77" s="181" t="str">
        <x:f>IF(AND(IF(J77="",TRUE,COUNTIF($A$7:$A$76,J77)=1),IF(K77="",TRUE,COUNTIF($A$7:$A$76,K77)=1),IF(L77="",TRUE,COUNTIF($A$7:$A$76,L77)=1),COUNTIF($A$7:$A$107,A77)=1,AND(M77&gt;=1,MOD(M77,1)=0,N77&gt;=0,MOD(N77,1)=0,S77&gt;0,T77&gt;=0,T77&lt;=S77),OR(R77="",AND(Q77&lt;&gt;"",R77&gt;=Q77)),IF(OR(G77="05.完了",G77="06.完了（資料記載）"),U77=1,TRUE),IF(N77=0,U77=1,TRUE)),"OK","要確認")</x:f>
        <x:v>OK</x:v>
      </x:c>
    </x:row>
    <x:row r="78" ht="54" customHeight="1">
      <x:c r="A78" s="135" t="str">
        <x:v>00072</x:v>
      </x:c>
      <x:c r="B78" s="200" t="str">
        <x:v>05.単体テスト</x:v>
      </x:c>
      <x:c r="C78" s="48" t="str">
        <x:v>SQL共通Function：正常・境界・NULLの単体テスト</x:v>
      </x:c>
      <x:c r="D78" s="85" t="str">
        <x:v>テスト担当（要確定）</x:v>
      </x:c>
      <x:c r="E78" s="48" t="str">
        <x:v>Fabric</x:v>
      </x:c>
      <x:c r="F78" s="143" t="str">
        <x:v>2.中</x:v>
      </x:c>
      <x:c r="G78" s="85" t="str">
        <x:v>00.未確認</x:v>
      </x:c>
      <x:c r="H78" s="149" t="str">
        <x:v>テスト</x:v>
      </x:c>
      <x:c r="I78" s="48" t="str">
        <x:v>共通</x:v>
      </x:c>
      <x:c r="J78" s="157" t="str">
        <x:v>00047</x:v>
      </x:c>
      <x:c r="K78" s="157" t="str">
        <x:v>00069</x:v>
      </x:c>
      <x:c r="L78" s="157" t="str"/>
      <x:c r="M78" s="143" t="n">
        <x:v>1</x:v>
      </x:c>
      <x:c r="N78" s="143" t="n">
        <x:v>2</x:v>
      </x:c>
      <x:c r="O78" s="163" t="n">
        <x:f>IF(OR('設定'!$B$4="",N78=0),"",MAX(WORKDAY.INTL('設定'!$B$4-1,M78,'設定'!$B$6,'設定'!$J$4:$J$53),IF(J78="",0,IF(COUNTIF($A$7:$A$77,J78)=1,IFERROR(IF(INDEX($P$7:$P$77,MATCH(J78,$A$7:$A$77,0),1)=0,0,WORKDAY.INTL(INDEX($P$7:$P$77,MATCH(J78,$A$7:$A$77,0),1),1,'設定'!$B$6,'設定'!$J$4:$J$53)),0),0)),IF(K78="",0,IF(COUNTIF($A$7:$A$77,K78)=1,IFERROR(IF(INDEX($P$7:$P$77,MATCH(K78,$A$7:$A$77,0),1)=0,0,WORKDAY.INTL(INDEX($P$7:$P$77,MATCH(K78,$A$7:$A$77,0),1),1,'設定'!$B$6,'設定'!$J$4:$J$53)),0),0)),IF(L78="",0,IF(COUNTIF($A$7:$A$77,L78)=1,IFERROR(IF(INDEX($P$7:$P$77,MATCH(L78,$A$7:$A$77,0),1)=0,0,WORKDAY.INTL(INDEX($P$7:$P$77,MATCH(L78,$A$7:$A$77,0),1),1,'設定'!$B$6,'設定'!$J$4:$J$53)),0),0))))</x:f>
        <x:v>46379</x:v>
      </x:c>
      <x:c r="P78" s="163" t="n">
        <x:f>IF(O78="","",WORKDAY.INTL(O78,N78-1,'設定'!$B$6,'設定'!$J$4:$J$53))</x:f>
        <x:v>46380</x:v>
      </x:c>
      <x:c r="Q78" s="169"/>
      <x:c r="R78" s="169"/>
      <x:c r="S78" s="143" t="n">
        <x:v>1</x:v>
      </x:c>
      <x:c r="T78" s="143" t="n">
        <x:v>0</x:v>
      </x:c>
      <x:c r="U78" s="175" t="n">
        <x:f>IFERROR(T78/S78,0)</x:f>
        <x:v>0</x:v>
      </x:c>
      <x:c r="V78" s="91" t="str">
        <x:f>IF(U78&gt;=1,IF(R78="","完了（実績日未確認）",IF(P78="","完了",IF(R78&gt;P78,"完了（遅延）","完了"))),IF(G78="04.保留","保留",IF(O78="","未計画",IF('設定'!$B$5&gt;P78,IF(G78="00.未確認","要確認（期限超過）","遅延"),IF('設定'!$B$5&gt;=O78,IF(G78="00.未確認","状況要確認",IF(Q78="","開始要確認","予定内")),"予定前")))))</x:f>
        <x:v>予定前</x:v>
      </x:c>
      <x:c r="W78" s="48" t="str">
        <x:v>43／52</x:v>
      </x:c>
      <x:c r="X78" s="48" t="str">
        <x:v>補足（共通処理の品質確認）</x:v>
      </x:c>
      <x:c r="Y78" s="48" t="str">
        <x:v>共通SQL関数の入力／期待結果と証跡</x:v>
      </x:c>
      <x:c r="Z78" s="48" t="str"/>
      <x:c r="AA78" s="181" t="str">
        <x:f>IF(AND(IF(J78="",TRUE,COUNTIF($A$7:$A$77,J78)=1),IF(K78="",TRUE,COUNTIF($A$7:$A$77,K78)=1),IF(L78="",TRUE,COUNTIF($A$7:$A$77,L78)=1),COUNTIF($A$7:$A$107,A78)=1,AND(M78&gt;=1,MOD(M78,1)=0,N78&gt;=0,MOD(N78,1)=0,S78&gt;0,T78&gt;=0,T78&lt;=S78),OR(R78="",AND(Q78&lt;&gt;"",R78&gt;=Q78)),IF(OR(G78="05.完了",G78="06.完了（資料記載）"),U78=1,TRUE),IF(N78=0,U78=1,TRUE)),"OK","要確認")</x:f>
        <x:v>OK</x:v>
      </x:c>
    </x:row>
    <x:row r="79" ht="54" customHeight="1">
      <x:c r="A79" s="136" t="str">
        <x:v>00073</x:v>
      </x:c>
      <x:c r="B79" s="200" t="str">
        <x:v>05.単体テスト</x:v>
      </x:c>
      <x:c r="C79" s="56" t="str">
        <x:v>共通Notebook：参照呼出し・文字列加工テスト</x:v>
      </x:c>
      <x:c r="D79" s="85" t="str">
        <x:v>テスト担当（要確定）</x:v>
      </x:c>
      <x:c r="E79" s="56" t="str">
        <x:v>Fabric Notebook</x:v>
      </x:c>
      <x:c r="F79" s="143" t="str">
        <x:v>2.中</x:v>
      </x:c>
      <x:c r="G79" s="85" t="str">
        <x:v>00.未確認</x:v>
      </x:c>
      <x:c r="H79" s="150" t="str">
        <x:v>テスト</x:v>
      </x:c>
      <x:c r="I79" s="56" t="str">
        <x:v>共通</x:v>
      </x:c>
      <x:c r="J79" s="157" t="str">
        <x:v>00048</x:v>
      </x:c>
      <x:c r="K79" s="157" t="str">
        <x:v>00069</x:v>
      </x:c>
      <x:c r="L79" s="157" t="str"/>
      <x:c r="M79" s="143" t="n">
        <x:v>1</x:v>
      </x:c>
      <x:c r="N79" s="143" t="n">
        <x:v>2</x:v>
      </x:c>
      <x:c r="O79" s="163" t="n">
        <x:f>IF(OR('設定'!$B$4="",N79=0),"",MAX(WORKDAY.INTL('設定'!$B$4-1,M79,'設定'!$B$6,'設定'!$J$4:$J$53),IF(J79="",0,IF(COUNTIF($A$7:$A$78,J79)=1,IFERROR(IF(INDEX($P$7:$P$78,MATCH(J79,$A$7:$A$78,0),1)=0,0,WORKDAY.INTL(INDEX($P$7:$P$78,MATCH(J79,$A$7:$A$78,0),1),1,'設定'!$B$6,'設定'!$J$4:$J$53)),0),0)),IF(K79="",0,IF(COUNTIF($A$7:$A$78,K79)=1,IFERROR(IF(INDEX($P$7:$P$78,MATCH(K79,$A$7:$A$78,0),1)=0,0,WORKDAY.INTL(INDEX($P$7:$P$78,MATCH(K79,$A$7:$A$78,0),1),1,'設定'!$B$6,'設定'!$J$4:$J$53)),0),0)),IF(L79="",0,IF(COUNTIF($A$7:$A$78,L79)=1,IFERROR(IF(INDEX($P$7:$P$78,MATCH(L79,$A$7:$A$78,0),1)=0,0,WORKDAY.INTL(INDEX($P$7:$P$78,MATCH(L79,$A$7:$A$78,0),1),1,'設定'!$B$6,'設定'!$J$4:$J$53)),0),0))))</x:f>
        <x:v>46379</x:v>
      </x:c>
      <x:c r="P79" s="163" t="n">
        <x:f>IF(O79="","",WORKDAY.INTL(O79,N79-1,'設定'!$B$6,'設定'!$J$4:$J$53))</x:f>
        <x:v>46380</x:v>
      </x:c>
      <x:c r="Q79" s="169"/>
      <x:c r="R79" s="169"/>
      <x:c r="S79" s="143" t="n">
        <x:v>1</x:v>
      </x:c>
      <x:c r="T79" s="143" t="n">
        <x:v>0</x:v>
      </x:c>
      <x:c r="U79" s="175" t="n">
        <x:f>IFERROR(T79/S79,0)</x:f>
        <x:v>0</x:v>
      </x:c>
      <x:c r="V79" s="91" t="str">
        <x:f>IF(U79&gt;=1,IF(R79="","完了（実績日未確認）",IF(P79="","完了",IF(R79&gt;P79,"完了（遅延）","完了"))),IF(G79="04.保留","保留",IF(O79="","未計画",IF('設定'!$B$5&gt;P79,IF(G79="00.未確認","要確認（期限超過）","遅延"),IF('設定'!$B$5&gt;=O79,IF(G79="00.未確認","状況要確認",IF(Q79="","開始要確認","予定内")),"予定前")))))</x:f>
        <x:v>予定前</x:v>
      </x:c>
      <x:c r="W79" s="56" t="str">
        <x:v>47</x:v>
      </x:c>
      <x:c r="X79" s="56" t="str">
        <x:v>補足（共通処理の品質確認）</x:v>
      </x:c>
      <x:c r="Y79" s="56" t="str">
        <x:v>共通関数の呼出し・入力型・NULL・空文字・例外の証跡</x:v>
      </x:c>
      <x:c r="Z79" s="56" t="str"/>
      <x:c r="AA79" s="181" t="str">
        <x:f>IF(AND(IF(J79="",TRUE,COUNTIF($A$7:$A$78,J79)=1),IF(K79="",TRUE,COUNTIF($A$7:$A$78,K79)=1),IF(L79="",TRUE,COUNTIF($A$7:$A$78,L79)=1),COUNTIF($A$7:$A$107,A79)=1,AND(M79&gt;=1,MOD(M79,1)=0,N79&gt;=0,MOD(N79,1)=0,S79&gt;0,T79&gt;=0,T79&lt;=S79),OR(R79="",AND(Q79&lt;&gt;"",R79&gt;=Q79)),IF(OR(G79="05.完了",G79="06.完了（資料記載）"),U79=1,TRUE),IF(N79=0,U79=1,TRUE)),"OK","要確認")</x:f>
        <x:v>OK</x:v>
      </x:c>
    </x:row>
    <x:row r="80" ht="54" customHeight="1">
      <x:c r="A80" s="135" t="str">
        <x:v>00074</x:v>
      </x:c>
      <x:c r="B80" s="200" t="str">
        <x:v>05.単体テスト</x:v>
      </x:c>
      <x:c r="C80" s="48" t="str">
        <x:v>差分Notebook：初回・増分・再実行テスト</x:v>
      </x:c>
      <x:c r="D80" s="85" t="str">
        <x:v>テスト担当（要確定）</x:v>
      </x:c>
      <x:c r="E80" s="48" t="str">
        <x:v>Fabric Notebook</x:v>
      </x:c>
      <x:c r="F80" s="143" t="str">
        <x:v>2.中</x:v>
      </x:c>
      <x:c r="G80" s="85" t="str">
        <x:v>00.未確認</x:v>
      </x:c>
      <x:c r="H80" s="149" t="str">
        <x:v>テスト</x:v>
      </x:c>
      <x:c r="I80" s="48" t="str">
        <x:v>共通</x:v>
      </x:c>
      <x:c r="J80" s="157" t="str">
        <x:v>00049</x:v>
      </x:c>
      <x:c r="K80" s="157" t="str">
        <x:v>00073</x:v>
      </x:c>
      <x:c r="L80" s="157" t="str"/>
      <x:c r="M80" s="143" t="n">
        <x:v>1</x:v>
      </x:c>
      <x:c r="N80" s="143" t="n">
        <x:v>2</x:v>
      </x:c>
      <x:c r="O80" s="163" t="n">
        <x:f>IF(OR('設定'!$B$4="",N80=0),"",MAX(WORKDAY.INTL('設定'!$B$4-1,M80,'設定'!$B$6,'設定'!$J$4:$J$53),IF(J80="",0,IF(COUNTIF($A$7:$A$79,J80)=1,IFERROR(IF(INDEX($P$7:$P$79,MATCH(J80,$A$7:$A$79,0),1)=0,0,WORKDAY.INTL(INDEX($P$7:$P$79,MATCH(J80,$A$7:$A$79,0),1),1,'設定'!$B$6,'設定'!$J$4:$J$53)),0),0)),IF(K80="",0,IF(COUNTIF($A$7:$A$79,K80)=1,IFERROR(IF(INDEX($P$7:$P$79,MATCH(K80,$A$7:$A$79,0),1)=0,0,WORKDAY.INTL(INDEX($P$7:$P$79,MATCH(K80,$A$7:$A$79,0),1),1,'設定'!$B$6,'設定'!$J$4:$J$53)),0),0)),IF(L80="",0,IF(COUNTIF($A$7:$A$79,L80)=1,IFERROR(IF(INDEX($P$7:$P$79,MATCH(L80,$A$7:$A$79,0),1)=0,0,WORKDAY.INTL(INDEX($P$7:$P$79,MATCH(L80,$A$7:$A$79,0),1),1,'設定'!$B$6,'設定'!$J$4:$J$53)),0),0))))</x:f>
        <x:v>46385</x:v>
      </x:c>
      <x:c r="P80" s="163" t="n">
        <x:f>IF(O80="","",WORKDAY.INTL(O80,N80-1,'設定'!$B$6,'設定'!$J$4:$J$53))</x:f>
        <x:v>46386</x:v>
      </x:c>
      <x:c r="Q80" s="169"/>
      <x:c r="R80" s="169"/>
      <x:c r="S80" s="143" t="n">
        <x:v>1</x:v>
      </x:c>
      <x:c r="T80" s="143" t="n">
        <x:v>0</x:v>
      </x:c>
      <x:c r="U80" s="175" t="n">
        <x:f>IFERROR(T80/S80,0)</x:f>
        <x:v>0</x:v>
      </x:c>
      <x:c r="V80" s="91" t="str">
        <x:f>IF(U80&gt;=1,IF(R80="","完了（実績日未確認）",IF(P80="","完了",IF(R80&gt;P80,"完了（遅延）","完了"))),IF(G80="04.保留","保留",IF(O80="","未計画",IF('設定'!$B$5&gt;P80,IF(G80="00.未確認","要確認（期限超過）","遅延"),IF('設定'!$B$5&gt;=O80,IF(G80="00.未確認","状況要確認",IF(Q80="","開始要確認","予定内")),"予定前")))))</x:f>
        <x:v>予定前</x:v>
      </x:c>
      <x:c r="W80" s="48" t="str">
        <x:v>46</x:v>
      </x:c>
      <x:c r="X80" s="48" t="str">
        <x:v>補足（共通処理の品質確認）</x:v>
      </x:c>
      <x:c r="Y80" s="48" t="str">
        <x:v>差分抽出・再実行時重複・対象期間の単体証跡</x:v>
      </x:c>
      <x:c r="Z80" s="48" t="str"/>
      <x:c r="AA80" s="181" t="str">
        <x:f>IF(AND(IF(J80="",TRUE,COUNTIF($A$7:$A$79,J80)=1),IF(K80="",TRUE,COUNTIF($A$7:$A$79,K80)=1),IF(L80="",TRUE,COUNTIF($A$7:$A$79,L80)=1),COUNTIF($A$7:$A$107,A80)=1,AND(M80&gt;=1,MOD(M80,1)=0,N80&gt;=0,MOD(N80,1)=0,S80&gt;0,T80&gt;=0,T80&lt;=S80),OR(R80="",AND(Q80&lt;&gt;"",R80&gt;=Q80)),IF(OR(G80="05.完了",G80="06.完了（資料記載）"),U80=1,TRUE),IF(N80=0,U80=1,TRUE)),"OK","要確認")</x:f>
        <x:v>OK</x:v>
      </x:c>
    </x:row>
    <x:row r="81" ht="54" customHeight="1">
      <x:c r="A81" s="136" t="str">
        <x:v>00075</x:v>
      </x:c>
      <x:c r="B81" s="200" t="str">
        <x:v>05.単体テスト</x:v>
      </x:c>
      <x:c r="C81" s="56" t="str">
        <x:v>GoldWarehouse：作成Viewの単体テスト</x:v>
      </x:c>
      <x:c r="D81" s="85" t="str">
        <x:v>テスト担当（要確定）</x:v>
      </x:c>
      <x:c r="E81" s="56" t="str">
        <x:v>Fabric</x:v>
      </x:c>
      <x:c r="F81" s="143" t="str">
        <x:v>2.中</x:v>
      </x:c>
      <x:c r="G81" s="85" t="str">
        <x:v>00.未確認</x:v>
      </x:c>
      <x:c r="H81" s="150" t="str">
        <x:v>テスト</x:v>
      </x:c>
      <x:c r="I81" s="56" t="str">
        <x:v>共通</x:v>
      </x:c>
      <x:c r="J81" s="157" t="str">
        <x:v>00050</x:v>
      </x:c>
      <x:c r="K81" s="157" t="str">
        <x:v>00072</x:v>
      </x:c>
      <x:c r="L81" s="157" t="str">
        <x:v>00069</x:v>
      </x:c>
      <x:c r="M81" s="143" t="n">
        <x:v>1</x:v>
      </x:c>
      <x:c r="N81" s="143" t="n">
        <x:v>2</x:v>
      </x:c>
      <x:c r="O81" s="163" t="n">
        <x:f>IF(OR('設定'!$B$4="",N81=0),"",MAX(WORKDAY.INTL('設定'!$B$4-1,M81,'設定'!$B$6,'設定'!$J$4:$J$53),IF(J81="",0,IF(COUNTIF($A$7:$A$80,J81)=1,IFERROR(IF(INDEX($P$7:$P$80,MATCH(J81,$A$7:$A$80,0),1)=0,0,WORKDAY.INTL(INDEX($P$7:$P$80,MATCH(J81,$A$7:$A$80,0),1),1,'設定'!$B$6,'設定'!$J$4:$J$53)),0),0)),IF(K81="",0,IF(COUNTIF($A$7:$A$80,K81)=1,IFERROR(IF(INDEX($P$7:$P$80,MATCH(K81,$A$7:$A$80,0),1)=0,0,WORKDAY.INTL(INDEX($P$7:$P$80,MATCH(K81,$A$7:$A$80,0),1),1,'設定'!$B$6,'設定'!$J$4:$J$53)),0),0)),IF(L81="",0,IF(COUNTIF($A$7:$A$80,L81)=1,IFERROR(IF(INDEX($P$7:$P$80,MATCH(L81,$A$7:$A$80,0),1)=0,0,WORKDAY.INTL(INDEX($P$7:$P$80,MATCH(L81,$A$7:$A$80,0),1),1,'設定'!$B$6,'設定'!$J$4:$J$53)),0),0))))</x:f>
        <x:v>46384</x:v>
      </x:c>
      <x:c r="P81" s="163" t="n">
        <x:f>IF(O81="","",WORKDAY.INTL(O81,N81-1,'設定'!$B$6,'設定'!$J$4:$J$53))</x:f>
        <x:v>46385</x:v>
      </x:c>
      <x:c r="Q81" s="169"/>
      <x:c r="R81" s="169"/>
      <x:c r="S81" s="143" t="n">
        <x:v>1</x:v>
      </x:c>
      <x:c r="T81" s="143" t="n">
        <x:v>0</x:v>
      </x:c>
      <x:c r="U81" s="175" t="n">
        <x:f>IFERROR(T81/S81,0)</x:f>
        <x:v>0</x:v>
      </x:c>
      <x:c r="V81" s="91" t="str">
        <x:f>IF(U81&gt;=1,IF(R81="","完了（実績日未確認）",IF(P81="","完了",IF(R81&gt;P81,"完了（遅延）","完了"))),IF(G81="04.保留","保留",IF(O81="","未計画",IF('設定'!$B$5&gt;P81,IF(G81="00.未確認","要確認（期限超過）","遅延"),IF('設定'!$B$5&gt;=O81,IF(G81="00.未確認","状況要確認",IF(Q81="","開始要確認","予定内")),"予定前")))))</x:f>
        <x:v>予定前</x:v>
      </x:c>
      <x:c r="W81" s="56" t="str">
        <x:v>52</x:v>
      </x:c>
      <x:c r="X81" s="56" t="str">
        <x:v>原資料展開</x:v>
      </x:c>
      <x:c r="Y81" s="56" t="str">
        <x:v>Viewの件数・値・結合・変換結果の比較証跡</x:v>
      </x:c>
      <x:c r="Z81" s="56" t="str"/>
      <x:c r="AA81" s="181" t="str">
        <x:f>IF(AND(IF(J81="",TRUE,COUNTIF($A$7:$A$80,J81)=1),IF(K81="",TRUE,COUNTIF($A$7:$A$80,K81)=1),IF(L81="",TRUE,COUNTIF($A$7:$A$80,L81)=1),COUNTIF($A$7:$A$107,A81)=1,AND(M81&gt;=1,MOD(M81,1)=0,N81&gt;=0,MOD(N81,1)=0,S81&gt;0,T81&gt;=0,T81&lt;=S81),OR(R81="",AND(Q81&lt;&gt;"",R81&gt;=Q81)),IF(OR(G81="05.完了",G81="06.完了（資料記載）"),U81=1,TRUE),IF(N81=0,U81=1,TRUE)),"OK","要確認")</x:f>
        <x:v>OK</x:v>
      </x:c>
    </x:row>
    <x:row r="82" ht="54" customHeight="1">
      <x:c r="A82" s="135" t="str">
        <x:v>00076</x:v>
      </x:c>
      <x:c r="B82" s="200" t="str">
        <x:v>05.単体テスト</x:v>
      </x:c>
      <x:c r="C82" s="48" t="str">
        <x:v>Product：加工結果・stg／tgt単体テスト</x:v>
      </x:c>
      <x:c r="D82" s="85" t="str">
        <x:v>テスト担当（要確定）</x:v>
      </x:c>
      <x:c r="E82" s="48" t="str">
        <x:v>Notebook／OutputLakehouse</x:v>
      </x:c>
      <x:c r="F82" s="143" t="str">
        <x:v>2.中</x:v>
      </x:c>
      <x:c r="G82" s="85" t="str">
        <x:v>00.未確認</x:v>
      </x:c>
      <x:c r="H82" s="149" t="str">
        <x:v>テスト</x:v>
      </x:c>
      <x:c r="I82" s="48" t="str">
        <x:v>Product</x:v>
      </x:c>
      <x:c r="J82" s="157" t="str">
        <x:v>00056</x:v>
      </x:c>
      <x:c r="K82" s="157" t="str">
        <x:v>00061</x:v>
      </x:c>
      <x:c r="L82" s="157" t="str">
        <x:v>00075</x:v>
      </x:c>
      <x:c r="M82" s="143" t="n">
        <x:v>1</x:v>
      </x:c>
      <x:c r="N82" s="143" t="n">
        <x:v>2</x:v>
      </x:c>
      <x:c r="O82" s="163" t="n">
        <x:f>IF(OR('設定'!$B$4="",N82=0),"",MAX(WORKDAY.INTL('設定'!$B$4-1,M82,'設定'!$B$6,'設定'!$J$4:$J$53),IF(J82="",0,IF(COUNTIF($A$7:$A$81,J82)=1,IFERROR(IF(INDEX($P$7:$P$81,MATCH(J82,$A$7:$A$81,0),1)=0,0,WORKDAY.INTL(INDEX($P$7:$P$81,MATCH(J82,$A$7:$A$81,0),1),1,'設定'!$B$6,'設定'!$J$4:$J$53)),0),0)),IF(K82="",0,IF(COUNTIF($A$7:$A$81,K82)=1,IFERROR(IF(INDEX($P$7:$P$81,MATCH(K82,$A$7:$A$81,0),1)=0,0,WORKDAY.INTL(INDEX($P$7:$P$81,MATCH(K82,$A$7:$A$81,0),1),1,'設定'!$B$6,'設定'!$J$4:$J$53)),0),0)),IF(L82="",0,IF(COUNTIF($A$7:$A$81,L82)=1,IFERROR(IF(INDEX($P$7:$P$81,MATCH(L82,$A$7:$A$81,0),1)=0,0,WORKDAY.INTL(INDEX($P$7:$P$81,MATCH(L82,$A$7:$A$81,0),1),1,'設定'!$B$6,'設定'!$J$4:$J$53)),0),0))))</x:f>
        <x:v>46393</x:v>
      </x:c>
      <x:c r="P82" s="163" t="n">
        <x:f>IF(O82="","",WORKDAY.INTL(O82,N82-1,'設定'!$B$6,'設定'!$J$4:$J$53))</x:f>
        <x:v>46394</x:v>
      </x:c>
      <x:c r="Q82" s="169"/>
      <x:c r="R82" s="169"/>
      <x:c r="S82" s="143" t="n">
        <x:v>1</x:v>
      </x:c>
      <x:c r="T82" s="143" t="n">
        <x:v>0</x:v>
      </x:c>
      <x:c r="U82" s="175" t="n">
        <x:f>IFERROR(T82/S82,0)</x:f>
        <x:v>0</x:v>
      </x:c>
      <x:c r="V82" s="91" t="str">
        <x:f>IF(U82&gt;=1,IF(R82="","完了（実績日未確認）",IF(P82="","完了",IF(R82&gt;P82,"完了（遅延）","完了"))),IF(G82="04.保留","保留",IF(O82="","未計画",IF('設定'!$B$5&gt;P82,IF(G82="00.未確認","要確認（期限超過）","遅延"),IF('設定'!$B$5&gt;=O82,IF(G82="00.未確認","状況要確認",IF(Q82="","開始要確認","予定内")),"予定前")))))</x:f>
        <x:v>予定前</x:v>
      </x:c>
      <x:c r="W82" s="48" t="str">
        <x:v>53</x:v>
      </x:c>
      <x:c r="X82" s="48" t="str">
        <x:v>原資料展開</x:v>
      </x:c>
      <x:c r="Y82" s="48" t="str">
        <x:v>Productの加工結果・stg・tgtの件数／値／型のエビデンス</x:v>
      </x:c>
      <x:c r="Z82" s="48" t="str"/>
      <x:c r="AA82" s="181" t="str">
        <x:f>IF(AND(IF(J82="",TRUE,COUNTIF($A$7:$A$81,J82)=1),IF(K82="",TRUE,COUNTIF($A$7:$A$81,K82)=1),IF(L82="",TRUE,COUNTIF($A$7:$A$81,L82)=1),COUNTIF($A$7:$A$107,A82)=1,AND(M82&gt;=1,MOD(M82,1)=0,N82&gt;=0,MOD(N82,1)=0,S82&gt;0,T82&gt;=0,T82&lt;=S82),OR(R82="",AND(Q82&lt;&gt;"",R82&gt;=Q82)),IF(OR(G82="05.完了",G82="06.完了（資料記載）"),U82=1,TRUE),IF(N82=0,U82=1,TRUE)),"OK","要確認")</x:f>
        <x:v>OK</x:v>
      </x:c>
    </x:row>
    <x:row r="83" ht="54" customHeight="1">
      <x:c r="A83" s="136" t="str">
        <x:v>00077</x:v>
      </x:c>
      <x:c r="B83" s="200" t="str">
        <x:v>05.単体テスト</x:v>
      </x:c>
      <x:c r="C83" s="56" t="str">
        <x:v>Contact：加工結果・stg／tgt単体テスト</x:v>
      </x:c>
      <x:c r="D83" s="85" t="str">
        <x:v>テスト担当（要確定）</x:v>
      </x:c>
      <x:c r="E83" s="56" t="str">
        <x:v>Notebook／OutputLakehouse</x:v>
      </x:c>
      <x:c r="F83" s="143" t="str">
        <x:v>2.中</x:v>
      </x:c>
      <x:c r="G83" s="85" t="str">
        <x:v>00.未確認</x:v>
      </x:c>
      <x:c r="H83" s="150" t="str">
        <x:v>テスト</x:v>
      </x:c>
      <x:c r="I83" s="56" t="str">
        <x:v>Contact</x:v>
      </x:c>
      <x:c r="J83" s="157" t="str">
        <x:v>00057</x:v>
      </x:c>
      <x:c r="K83" s="157" t="str">
        <x:v>00062</x:v>
      </x:c>
      <x:c r="L83" s="157" t="str">
        <x:v>00076</x:v>
      </x:c>
      <x:c r="M83" s="143" t="n">
        <x:v>1</x:v>
      </x:c>
      <x:c r="N83" s="143" t="n">
        <x:v>2</x:v>
      </x:c>
      <x:c r="O83" s="163" t="n">
        <x:f>IF(OR('設定'!$B$4="",N83=0),"",MAX(WORKDAY.INTL('設定'!$B$4-1,M83,'設定'!$B$6,'設定'!$J$4:$J$53),IF(J83="",0,IF(COUNTIF($A$7:$A$82,J83)=1,IFERROR(IF(INDEX($P$7:$P$82,MATCH(J83,$A$7:$A$82,0),1)=0,0,WORKDAY.INTL(INDEX($P$7:$P$82,MATCH(J83,$A$7:$A$82,0),1),1,'設定'!$B$6,'設定'!$J$4:$J$53)),0),0)),IF(K83="",0,IF(COUNTIF($A$7:$A$82,K83)=1,IFERROR(IF(INDEX($P$7:$P$82,MATCH(K83,$A$7:$A$82,0),1)=0,0,WORKDAY.INTL(INDEX($P$7:$P$82,MATCH(K83,$A$7:$A$82,0),1),1,'設定'!$B$6,'設定'!$J$4:$J$53)),0),0)),IF(L83="",0,IF(COUNTIF($A$7:$A$82,L83)=1,IFERROR(IF(INDEX($P$7:$P$82,MATCH(L83,$A$7:$A$82,0),1)=0,0,WORKDAY.INTL(INDEX($P$7:$P$82,MATCH(L83,$A$7:$A$82,0),1),1,'設定'!$B$6,'設定'!$J$4:$J$53)),0),0))))</x:f>
        <x:v>46395</x:v>
      </x:c>
      <x:c r="P83" s="163" t="n">
        <x:f>IF(O83="","",WORKDAY.INTL(O83,N83-1,'設定'!$B$6,'設定'!$J$4:$J$53))</x:f>
        <x:v>46398</x:v>
      </x:c>
      <x:c r="Q83" s="169"/>
      <x:c r="R83" s="169"/>
      <x:c r="S83" s="143" t="n">
        <x:v>1</x:v>
      </x:c>
      <x:c r="T83" s="143" t="n">
        <x:v>0</x:v>
      </x:c>
      <x:c r="U83" s="175" t="n">
        <x:f>IFERROR(T83/S83,0)</x:f>
        <x:v>0</x:v>
      </x:c>
      <x:c r="V83" s="91" t="str">
        <x:f>IF(U83&gt;=1,IF(R83="","完了（実績日未確認）",IF(P83="","完了",IF(R83&gt;P83,"完了（遅延）","完了"))),IF(G83="04.保留","保留",IF(O83="","未計画",IF('設定'!$B$5&gt;P83,IF(G83="00.未確認","要確認（期限超過）","遅延"),IF('設定'!$B$5&gt;=O83,IF(G83="00.未確認","状況要確認",IF(Q83="","開始要確認","予定内")),"予定前")))))</x:f>
        <x:v>予定前</x:v>
      </x:c>
      <x:c r="W83" s="56" t="str">
        <x:v>53</x:v>
      </x:c>
      <x:c r="X83" s="56" t="str">
        <x:v>原資料展開</x:v>
      </x:c>
      <x:c r="Y83" s="56" t="str">
        <x:v>Contactの加工結果・stg・tgtの件数／値／型のエビデンス</x:v>
      </x:c>
      <x:c r="Z83" s="56" t="str"/>
      <x:c r="AA83" s="181" t="str">
        <x:f>IF(AND(IF(J83="",TRUE,COUNTIF($A$7:$A$82,J83)=1),IF(K83="",TRUE,COUNTIF($A$7:$A$82,K83)=1),IF(L83="",TRUE,COUNTIF($A$7:$A$82,L83)=1),COUNTIF($A$7:$A$107,A83)=1,AND(M83&gt;=1,MOD(M83,1)=0,N83&gt;=0,MOD(N83,1)=0,S83&gt;0,T83&gt;=0,T83&lt;=S83),OR(R83="",AND(Q83&lt;&gt;"",R83&gt;=Q83)),IF(OR(G83="05.完了",G83="06.完了（資料記載）"),U83=1,TRUE),IF(N83=0,U83=1,TRUE)),"OK","要確認")</x:f>
        <x:v>OK</x:v>
      </x:c>
    </x:row>
    <x:row r="84" ht="54" customHeight="1">
      <x:c r="A84" s="135" t="str">
        <x:v>00078</x:v>
      </x:c>
      <x:c r="B84" s="200" t="str">
        <x:v>05.単体テスト</x:v>
      </x:c>
      <x:c r="C84" s="48" t="str">
        <x:v>Account：加工結果・stg／tgt単体テスト</x:v>
      </x:c>
      <x:c r="D84" s="85" t="str">
        <x:v>テスト担当（要確定）</x:v>
      </x:c>
      <x:c r="E84" s="48" t="str">
        <x:v>Notebook／OutputLakehouse</x:v>
      </x:c>
      <x:c r="F84" s="143" t="str">
        <x:v>2.中</x:v>
      </x:c>
      <x:c r="G84" s="85" t="str">
        <x:v>00.未確認</x:v>
      </x:c>
      <x:c r="H84" s="149" t="str">
        <x:v>テスト</x:v>
      </x:c>
      <x:c r="I84" s="48" t="str">
        <x:v>Account</x:v>
      </x:c>
      <x:c r="J84" s="157" t="str">
        <x:v>00058</x:v>
      </x:c>
      <x:c r="K84" s="157" t="str">
        <x:v>00063</x:v>
      </x:c>
      <x:c r="L84" s="157" t="str">
        <x:v>00077</x:v>
      </x:c>
      <x:c r="M84" s="143" t="n">
        <x:v>1</x:v>
      </x:c>
      <x:c r="N84" s="143" t="n">
        <x:v>2</x:v>
      </x:c>
      <x:c r="O84" s="163" t="n">
        <x:f>IF(OR('設定'!$B$4="",N84=0),"",MAX(WORKDAY.INTL('設定'!$B$4-1,M84,'設定'!$B$6,'設定'!$J$4:$J$53),IF(J84="",0,IF(COUNTIF($A$7:$A$83,J84)=1,IFERROR(IF(INDEX($P$7:$P$83,MATCH(J84,$A$7:$A$83,0),1)=0,0,WORKDAY.INTL(INDEX($P$7:$P$83,MATCH(J84,$A$7:$A$83,0),1),1,'設定'!$B$6,'設定'!$J$4:$J$53)),0),0)),IF(K84="",0,IF(COUNTIF($A$7:$A$83,K84)=1,IFERROR(IF(INDEX($P$7:$P$83,MATCH(K84,$A$7:$A$83,0),1)=0,0,WORKDAY.INTL(INDEX($P$7:$P$83,MATCH(K84,$A$7:$A$83,0),1),1,'設定'!$B$6,'設定'!$J$4:$J$53)),0),0)),IF(L84="",0,IF(COUNTIF($A$7:$A$83,L84)=1,IFERROR(IF(INDEX($P$7:$P$83,MATCH(L84,$A$7:$A$83,0),1)=0,0,WORKDAY.INTL(INDEX($P$7:$P$83,MATCH(L84,$A$7:$A$83,0),1),1,'設定'!$B$6,'設定'!$J$4:$J$53)),0),0))))</x:f>
        <x:v>46399</x:v>
      </x:c>
      <x:c r="P84" s="163" t="n">
        <x:f>IF(O84="","",WORKDAY.INTL(O84,N84-1,'設定'!$B$6,'設定'!$J$4:$J$53))</x:f>
        <x:v>46400</x:v>
      </x:c>
      <x:c r="Q84" s="169"/>
      <x:c r="R84" s="169"/>
      <x:c r="S84" s="143" t="n">
        <x:v>1</x:v>
      </x:c>
      <x:c r="T84" s="143" t="n">
        <x:v>0</x:v>
      </x:c>
      <x:c r="U84" s="175" t="n">
        <x:f>IFERROR(T84/S84,0)</x:f>
        <x:v>0</x:v>
      </x:c>
      <x:c r="V84" s="91" t="str">
        <x:f>IF(U84&gt;=1,IF(R84="","完了（実績日未確認）",IF(P84="","完了",IF(R84&gt;P84,"完了（遅延）","完了"))),IF(G84="04.保留","保留",IF(O84="","未計画",IF('設定'!$B$5&gt;P84,IF(G84="00.未確認","要確認（期限超過）","遅延"),IF('設定'!$B$5&gt;=O84,IF(G84="00.未確認","状況要確認",IF(Q84="","開始要確認","予定内")),"予定前")))))</x:f>
        <x:v>予定前</x:v>
      </x:c>
      <x:c r="W84" s="48" t="str">
        <x:v>53</x:v>
      </x:c>
      <x:c r="X84" s="48" t="str">
        <x:v>原資料展開</x:v>
      </x:c>
      <x:c r="Y84" s="48" t="str">
        <x:v>Accountの加工結果・stg・tgtの件数／値／型のエビデンス</x:v>
      </x:c>
      <x:c r="Z84" s="48" t="str"/>
      <x:c r="AA84" s="181" t="str">
        <x:f>IF(AND(IF(J84="",TRUE,COUNTIF($A$7:$A$83,J84)=1),IF(K84="",TRUE,COUNTIF($A$7:$A$83,K84)=1),IF(L84="",TRUE,COUNTIF($A$7:$A$83,L84)=1),COUNTIF($A$7:$A$107,A84)=1,AND(M84&gt;=1,MOD(M84,1)=0,N84&gt;=0,MOD(N84,1)=0,S84&gt;0,T84&gt;=0,T84&lt;=S84),OR(R84="",AND(Q84&lt;&gt;"",R84&gt;=Q84)),IF(OR(G84="05.完了",G84="06.完了（資料記載）"),U84=1,TRUE),IF(N84=0,U84=1,TRUE)),"OK","要確認")</x:f>
        <x:v>OK</x:v>
      </x:c>
    </x:row>
    <x:row r="85" ht="54" customHeight="1">
      <x:c r="A85" s="136" t="str">
        <x:v>00079</x:v>
      </x:c>
      <x:c r="B85" s="200" t="str">
        <x:v>05.単体テスト</x:v>
      </x:c>
      <x:c r="C85" s="56" t="str">
        <x:v>AccountContact：加工結果・stg／tgt単体テスト</x:v>
      </x:c>
      <x:c r="D85" s="85" t="str">
        <x:v>テスト担当（要確定）</x:v>
      </x:c>
      <x:c r="E85" s="56" t="str">
        <x:v>Notebook／OutputLakehouse</x:v>
      </x:c>
      <x:c r="F85" s="143" t="str">
        <x:v>2.中</x:v>
      </x:c>
      <x:c r="G85" s="85" t="str">
        <x:v>00.未確認</x:v>
      </x:c>
      <x:c r="H85" s="150" t="str">
        <x:v>テスト</x:v>
      </x:c>
      <x:c r="I85" s="56" t="str">
        <x:v>AccountContact</x:v>
      </x:c>
      <x:c r="J85" s="157" t="str">
        <x:v>00059</x:v>
      </x:c>
      <x:c r="K85" s="157" t="str">
        <x:v>00064</x:v>
      </x:c>
      <x:c r="L85" s="157" t="str">
        <x:v>00078</x:v>
      </x:c>
      <x:c r="M85" s="143" t="n">
        <x:v>1</x:v>
      </x:c>
      <x:c r="N85" s="143" t="n">
        <x:v>2</x:v>
      </x:c>
      <x:c r="O85" s="163" t="n">
        <x:f>IF(OR('設定'!$B$4="",N85=0),"",MAX(WORKDAY.INTL('設定'!$B$4-1,M85,'設定'!$B$6,'設定'!$J$4:$J$53),IF(J85="",0,IF(COUNTIF($A$7:$A$84,J85)=1,IFERROR(IF(INDEX($P$7:$P$84,MATCH(J85,$A$7:$A$84,0),1)=0,0,WORKDAY.INTL(INDEX($P$7:$P$84,MATCH(J85,$A$7:$A$84,0),1),1,'設定'!$B$6,'設定'!$J$4:$J$53)),0),0)),IF(K85="",0,IF(COUNTIF($A$7:$A$84,K85)=1,IFERROR(IF(INDEX($P$7:$P$84,MATCH(K85,$A$7:$A$84,0),1)=0,0,WORKDAY.INTL(INDEX($P$7:$P$84,MATCH(K85,$A$7:$A$84,0),1),1,'設定'!$B$6,'設定'!$J$4:$J$53)),0),0)),IF(L85="",0,IF(COUNTIF($A$7:$A$84,L85)=1,IFERROR(IF(INDEX($P$7:$P$84,MATCH(L85,$A$7:$A$84,0),1)=0,0,WORKDAY.INTL(INDEX($P$7:$P$84,MATCH(L85,$A$7:$A$84,0),1),1,'設定'!$B$6,'設定'!$J$4:$J$53)),0),0))))</x:f>
        <x:v>46401</x:v>
      </x:c>
      <x:c r="P85" s="163" t="n">
        <x:f>IF(O85="","",WORKDAY.INTL(O85,N85-1,'設定'!$B$6,'設定'!$J$4:$J$53))</x:f>
        <x:v>46402</x:v>
      </x:c>
      <x:c r="Q85" s="169"/>
      <x:c r="R85" s="169"/>
      <x:c r="S85" s="143" t="n">
        <x:v>1</x:v>
      </x:c>
      <x:c r="T85" s="143" t="n">
        <x:v>0</x:v>
      </x:c>
      <x:c r="U85" s="175" t="n">
        <x:f>IFERROR(T85/S85,0)</x:f>
        <x:v>0</x:v>
      </x:c>
      <x:c r="V85" s="91" t="str">
        <x:f>IF(U85&gt;=1,IF(R85="","完了（実績日未確認）",IF(P85="","完了",IF(R85&gt;P85,"完了（遅延）","完了"))),IF(G85="04.保留","保留",IF(O85="","未計画",IF('設定'!$B$5&gt;P85,IF(G85="00.未確認","要確認（期限超過）","遅延"),IF('設定'!$B$5&gt;=O85,IF(G85="00.未確認","状況要確認",IF(Q85="","開始要確認","予定内")),"予定前")))))</x:f>
        <x:v>予定前</x:v>
      </x:c>
      <x:c r="W85" s="56" t="str">
        <x:v>53</x:v>
      </x:c>
      <x:c r="X85" s="56" t="str">
        <x:v>原資料展開</x:v>
      </x:c>
      <x:c r="Y85" s="56" t="str">
        <x:v>AccountContactの加工結果・stg・tgtの件数／値／型のエビデンス</x:v>
      </x:c>
      <x:c r="Z85" s="56" t="str"/>
      <x:c r="AA85" s="181" t="str">
        <x:f>IF(AND(IF(J85="",TRUE,COUNTIF($A$7:$A$84,J85)=1),IF(K85="",TRUE,COUNTIF($A$7:$A$84,K85)=1),IF(L85="",TRUE,COUNTIF($A$7:$A$84,L85)=1),COUNTIF($A$7:$A$107,A85)=1,AND(M85&gt;=1,MOD(M85,1)=0,N85&gt;=0,MOD(N85,1)=0,S85&gt;0,T85&gt;=0,T85&lt;=S85),OR(R85="",AND(Q85&lt;&gt;"",R85&gt;=Q85)),IF(OR(G85="05.完了",G85="06.完了（資料記載）"),U85=1,TRUE),IF(N85=0,U85=1,TRUE)),"OK","要確認")</x:f>
        <x:v>OK</x:v>
      </x:c>
    </x:row>
    <x:row r="86" ht="54" customHeight="1">
      <x:c r="A86" s="135" t="str">
        <x:v>00080</x:v>
      </x:c>
      <x:c r="B86" s="200" t="str">
        <x:v>05.単体テスト</x:v>
      </x:c>
      <x:c r="C86" s="48" t="str">
        <x:v>SalesRepHospital：加工結果・stg／tgt単体テスト</x:v>
      </x:c>
      <x:c r="D86" s="85" t="str">
        <x:v>テスト担当（要確定）</x:v>
      </x:c>
      <x:c r="E86" s="48" t="str">
        <x:v>Notebook／OutputLakehouse</x:v>
      </x:c>
      <x:c r="F86" s="143" t="str">
        <x:v>2.中</x:v>
      </x:c>
      <x:c r="G86" s="85" t="str">
        <x:v>00.未確認</x:v>
      </x:c>
      <x:c r="H86" s="149" t="str">
        <x:v>テスト</x:v>
      </x:c>
      <x:c r="I86" s="48" t="str">
        <x:v>SalesRepHospital</x:v>
      </x:c>
      <x:c r="J86" s="157" t="str">
        <x:v>00060</x:v>
      </x:c>
      <x:c r="K86" s="157" t="str">
        <x:v>00065</x:v>
      </x:c>
      <x:c r="L86" s="157" t="str">
        <x:v>00079</x:v>
      </x:c>
      <x:c r="M86" s="143" t="n">
        <x:v>1</x:v>
      </x:c>
      <x:c r="N86" s="143" t="n">
        <x:v>2</x:v>
      </x:c>
      <x:c r="O86" s="163" t="n">
        <x:f>IF(OR('設定'!$B$4="",N86=0),"",MAX(WORKDAY.INTL('設定'!$B$4-1,M86,'設定'!$B$6,'設定'!$J$4:$J$53),IF(J86="",0,IF(COUNTIF($A$7:$A$85,J86)=1,IFERROR(IF(INDEX($P$7:$P$85,MATCH(J86,$A$7:$A$85,0),1)=0,0,WORKDAY.INTL(INDEX($P$7:$P$85,MATCH(J86,$A$7:$A$85,0),1),1,'設定'!$B$6,'設定'!$J$4:$J$53)),0),0)),IF(K86="",0,IF(COUNTIF($A$7:$A$85,K86)=1,IFERROR(IF(INDEX($P$7:$P$85,MATCH(K86,$A$7:$A$85,0),1)=0,0,WORKDAY.INTL(INDEX($P$7:$P$85,MATCH(K86,$A$7:$A$85,0),1),1,'設定'!$B$6,'設定'!$J$4:$J$53)),0),0)),IF(L86="",0,IF(COUNTIF($A$7:$A$85,L86)=1,IFERROR(IF(INDEX($P$7:$P$85,MATCH(L86,$A$7:$A$85,0),1)=0,0,WORKDAY.INTL(INDEX($P$7:$P$85,MATCH(L86,$A$7:$A$85,0),1),1,'設定'!$B$6,'設定'!$J$4:$J$53)),0),0))))</x:f>
        <x:v>46405</x:v>
      </x:c>
      <x:c r="P86" s="163" t="n">
        <x:f>IF(O86="","",WORKDAY.INTL(O86,N86-1,'設定'!$B$6,'設定'!$J$4:$J$53))</x:f>
        <x:v>46406</x:v>
      </x:c>
      <x:c r="Q86" s="169"/>
      <x:c r="R86" s="169"/>
      <x:c r="S86" s="143" t="n">
        <x:v>1</x:v>
      </x:c>
      <x:c r="T86" s="143" t="n">
        <x:v>0</x:v>
      </x:c>
      <x:c r="U86" s="175" t="n">
        <x:f>IFERROR(T86/S86,0)</x:f>
        <x:v>0</x:v>
      </x:c>
      <x:c r="V86" s="91" t="str">
        <x:f>IF(U86&gt;=1,IF(R86="","完了（実績日未確認）",IF(P86="","完了",IF(R86&gt;P86,"完了（遅延）","完了"))),IF(G86="04.保留","保留",IF(O86="","未計画",IF('設定'!$B$5&gt;P86,IF(G86="00.未確認","要確認（期限超過）","遅延"),IF('設定'!$B$5&gt;=O86,IF(G86="00.未確認","状況要確認",IF(Q86="","開始要確認","予定内")),"予定前")))))</x:f>
        <x:v>予定前</x:v>
      </x:c>
      <x:c r="W86" s="48" t="str">
        <x:v>53</x:v>
      </x:c>
      <x:c r="X86" s="48" t="str">
        <x:v>原資料展開</x:v>
      </x:c>
      <x:c r="Y86" s="48" t="str">
        <x:v>SalesRepHospitalの加工結果・stg・tgtの件数／値／型のエビデンス</x:v>
      </x:c>
      <x:c r="Z86" s="48" t="str"/>
      <x:c r="AA86" s="181" t="str">
        <x:f>IF(AND(IF(J86="",TRUE,COUNTIF($A$7:$A$85,J86)=1),IF(K86="",TRUE,COUNTIF($A$7:$A$85,K86)=1),IF(L86="",TRUE,COUNTIF($A$7:$A$85,L86)=1),COUNTIF($A$7:$A$107,A86)=1,AND(M86&gt;=1,MOD(M86,1)=0,N86&gt;=0,MOD(N86,1)=0,S86&gt;0,T86&gt;=0,T86&lt;=S86),OR(R86="",AND(Q86&lt;&gt;"",R86&gt;=Q86)),IF(OR(G86="05.完了",G86="06.完了（資料記載）"),U86=1,TRUE),IF(N86=0,U86=1,TRUE)),"OK","要確認")</x:f>
        <x:v>OK</x:v>
      </x:c>
    </x:row>
    <x:row r="87" ht="54" customHeight="1">
      <x:c r="A87" s="136" t="str">
        <x:v>00081</x:v>
      </x:c>
      <x:c r="B87" s="200" t="str">
        <x:v>05.単体テスト</x:v>
      </x:c>
      <x:c r="C87" s="56" t="str">
        <x:v>Watermark：更新・失敗時整合性の単体テスト</x:v>
      </x:c>
      <x:c r="D87" s="85" t="str">
        <x:v>テスト担当（要確定）</x:v>
      </x:c>
      <x:c r="E87" s="56" t="str">
        <x:v>OutputLakehouse</x:v>
      </x:c>
      <x:c r="F87" s="143" t="str">
        <x:v>2.中</x:v>
      </x:c>
      <x:c r="G87" s="85" t="str">
        <x:v>00.未確認</x:v>
      </x:c>
      <x:c r="H87" s="150" t="str">
        <x:v>テスト</x:v>
      </x:c>
      <x:c r="I87" s="56" t="str">
        <x:v>共通</x:v>
      </x:c>
      <x:c r="J87" s="157" t="str">
        <x:v>00066</x:v>
      </x:c>
      <x:c r="K87" s="157" t="str">
        <x:v>00074</x:v>
      </x:c>
      <x:c r="L87" s="157" t="str"/>
      <x:c r="M87" s="143" t="n">
        <x:v>1</x:v>
      </x:c>
      <x:c r="N87" s="143" t="n">
        <x:v>2</x:v>
      </x:c>
      <x:c r="O87" s="163" t="n">
        <x:f>IF(OR('設定'!$B$4="",N87=0),"",MAX(WORKDAY.INTL('設定'!$B$4-1,M87,'設定'!$B$6,'設定'!$J$4:$J$53),IF(J87="",0,IF(COUNTIF($A$7:$A$86,J87)=1,IFERROR(IF(INDEX($P$7:$P$86,MATCH(J87,$A$7:$A$86,0),1)=0,0,WORKDAY.INTL(INDEX($P$7:$P$86,MATCH(J87,$A$7:$A$86,0),1),1,'設定'!$B$6,'設定'!$J$4:$J$53)),0),0)),IF(K87="",0,IF(COUNTIF($A$7:$A$86,K87)=1,IFERROR(IF(INDEX($P$7:$P$86,MATCH(K87,$A$7:$A$86,0),1)=0,0,WORKDAY.INTL(INDEX($P$7:$P$86,MATCH(K87,$A$7:$A$86,0),1),1,'設定'!$B$6,'設定'!$J$4:$J$53)),0),0)),IF(L87="",0,IF(COUNTIF($A$7:$A$86,L87)=1,IFERROR(IF(INDEX($P$7:$P$86,MATCH(L87,$A$7:$A$86,0),1)=0,0,WORKDAY.INTL(INDEX($P$7:$P$86,MATCH(L87,$A$7:$A$86,0),1),1,'設定'!$B$6,'設定'!$J$4:$J$53)),0),0))))</x:f>
        <x:v>46387</x:v>
      </x:c>
      <x:c r="P87" s="163" t="n">
        <x:f>IF(O87="","",WORKDAY.INTL(O87,N87-1,'設定'!$B$6,'設定'!$J$4:$J$53))</x:f>
        <x:v>46388</x:v>
      </x:c>
      <x:c r="Q87" s="169"/>
      <x:c r="R87" s="169"/>
      <x:c r="S87" s="143" t="n">
        <x:v>1</x:v>
      </x:c>
      <x:c r="T87" s="143" t="n">
        <x:v>0</x:v>
      </x:c>
      <x:c r="U87" s="175" t="n">
        <x:f>IFERROR(T87/S87,0)</x:f>
        <x:v>0</x:v>
      </x:c>
      <x:c r="V87" s="91" t="str">
        <x:f>IF(U87&gt;=1,IF(R87="","完了（実績日未確認）",IF(P87="","完了",IF(R87&gt;P87,"完了（遅延）","完了"))),IF(G87="04.保留","保留",IF(O87="","未計画",IF('設定'!$B$5&gt;P87,IF(G87="00.未確認","要確認（期限超過）","遅延"),IF('設定'!$B$5&gt;=O87,IF(G87="00.未確認","状況要確認",IF(Q87="","開始要確認","予定内")),"予定前")))))</x:f>
        <x:v>予定前</x:v>
      </x:c>
      <x:c r="W87" s="56" t="str">
        <x:v>48／53</x:v>
      </x:c>
      <x:c r="X87" s="56" t="str">
        <x:v>補足（原作業の試験展開）</x:v>
      </x:c>
      <x:c r="Y87" s="56" t="str">
        <x:v>Watermark整合性・異常終了時の状態確認</x:v>
      </x:c>
      <x:c r="Z87" s="56" t="str"/>
      <x:c r="AA87" s="181" t="str">
        <x:f>IF(AND(IF(J87="",TRUE,COUNTIF($A$7:$A$86,J87)=1),IF(K87="",TRUE,COUNTIF($A$7:$A$86,K87)=1),IF(L87="",TRUE,COUNTIF($A$7:$A$86,L87)=1),COUNTIF($A$7:$A$107,A87)=1,AND(M87&gt;=1,MOD(M87,1)=0,N87&gt;=0,MOD(N87,1)=0,S87&gt;0,T87&gt;=0,T87&lt;=S87),OR(R87="",AND(Q87&lt;&gt;"",R87&gt;=Q87)),IF(OR(G87="05.完了",G87="06.完了（資料記載）"),U87=1,TRUE),IF(N87=0,U87=1,TRUE)),"OK","要確認")</x:f>
        <x:v>OK</x:v>
      </x:c>
    </x:row>
    <x:row r="88" ht="54" customHeight="1">
      <x:c r="A88" s="135" t="str">
        <x:v>00082</x:v>
      </x:c>
      <x:c r="B88" s="200" t="str">
        <x:v>05.単体テスト</x:v>
      </x:c>
      <x:c r="C88" s="48" t="str">
        <x:v>単体結果レビュー・結合テスト移行判定</x:v>
      </x:c>
      <x:c r="D88" s="85" t="str">
        <x:v>品質／開発リーダー（要確定）</x:v>
      </x:c>
      <x:c r="E88" s="48" t="str">
        <x:v>Fabric</x:v>
      </x:c>
      <x:c r="F88" s="143" t="str">
        <x:v>2.中</x:v>
      </x:c>
      <x:c r="G88" s="85" t="str">
        <x:v>00.未確認</x:v>
      </x:c>
      <x:c r="H88" s="149" t="str">
        <x:v>テスト</x:v>
      </x:c>
      <x:c r="I88" s="48" t="str">
        <x:v>共通</x:v>
      </x:c>
      <x:c r="J88" s="157" t="str">
        <x:v>00080</x:v>
      </x:c>
      <x:c r="K88" s="157" t="str">
        <x:v>00081</x:v>
      </x:c>
      <x:c r="L88" s="157" t="str">
        <x:v>00071</x:v>
      </x:c>
      <x:c r="M88" s="143" t="n">
        <x:v>1</x:v>
      </x:c>
      <x:c r="N88" s="143" t="n">
        <x:v>1</x:v>
      </x:c>
      <x:c r="O88" s="163" t="n">
        <x:f>IF(OR('設定'!$B$4="",N88=0),"",MAX(WORKDAY.INTL('設定'!$B$4-1,M88,'設定'!$B$6,'設定'!$J$4:$J$53),IF(J88="",0,IF(COUNTIF($A$7:$A$87,J88)=1,IFERROR(IF(INDEX($P$7:$P$87,MATCH(J88,$A$7:$A$87,0),1)=0,0,WORKDAY.INTL(INDEX($P$7:$P$87,MATCH(J88,$A$7:$A$87,0),1),1,'設定'!$B$6,'設定'!$J$4:$J$53)),0),0)),IF(K88="",0,IF(COUNTIF($A$7:$A$87,K88)=1,IFERROR(IF(INDEX($P$7:$P$87,MATCH(K88,$A$7:$A$87,0),1)=0,0,WORKDAY.INTL(INDEX($P$7:$P$87,MATCH(K88,$A$7:$A$87,0),1),1,'設定'!$B$6,'設定'!$J$4:$J$53)),0),0)),IF(L88="",0,IF(COUNTIF($A$7:$A$87,L88)=1,IFERROR(IF(INDEX($P$7:$P$87,MATCH(L88,$A$7:$A$87,0),1)=0,0,WORKDAY.INTL(INDEX($P$7:$P$87,MATCH(L88,$A$7:$A$87,0),1),1,'設定'!$B$6,'設定'!$J$4:$J$53)),0),0))))</x:f>
        <x:v>46407</x:v>
      </x:c>
      <x:c r="P88" s="163" t="n">
        <x:f>IF(O88="","",WORKDAY.INTL(O88,N88-1,'設定'!$B$6,'設定'!$J$4:$J$53))</x:f>
        <x:v>46407</x:v>
      </x:c>
      <x:c r="Q88" s="169"/>
      <x:c r="R88" s="169"/>
      <x:c r="S88" s="143" t="n">
        <x:v>1</x:v>
      </x:c>
      <x:c r="T88" s="143" t="n">
        <x:v>0</x:v>
      </x:c>
      <x:c r="U88" s="175" t="n">
        <x:f>IFERROR(T88/S88,0)</x:f>
        <x:v>0</x:v>
      </x:c>
      <x:c r="V88" s="91" t="str">
        <x:f>IF(U88&gt;=1,IF(R88="","完了（実績日未確認）",IF(P88="","完了",IF(R88&gt;P88,"完了（遅延）","完了"))),IF(G88="04.保留","保留",IF(O88="","未計画",IF('設定'!$B$5&gt;P88,IF(G88="00.未確認","要確認（期限超過）","遅延"),IF('設定'!$B$5&gt;=O88,IF(G88="00.未確認","状況要確認",IF(Q88="","開始要確認","予定内")),"予定前")))))</x:f>
        <x:v>予定前</x:v>
      </x:c>
      <x:c r="W88" s="48" t="str">
        <x:v>50／51／52／53</x:v>
      </x:c>
      <x:c r="X88" s="48" t="str">
        <x:v>補足（テスト完了判定）</x:v>
      </x:c>
      <x:c r="Y88" s="48" t="str">
        <x:v>不具合残件・単体完了の確認記録</x:v>
      </x:c>
      <x:c r="Z88" s="48" t="str"/>
      <x:c r="AA88" s="181" t="str">
        <x:f>IF(AND(IF(J88="",TRUE,COUNTIF($A$7:$A$87,J88)=1),IF(K88="",TRUE,COUNTIF($A$7:$A$87,K88)=1),IF(L88="",TRUE,COUNTIF($A$7:$A$87,L88)=1),COUNTIF($A$7:$A$107,A88)=1,AND(M88&gt;=1,MOD(M88,1)=0,N88&gt;=0,MOD(N88,1)=0,S88&gt;0,T88&gt;=0,T88&lt;=S88),OR(R88="",AND(Q88&lt;&gt;"",R88&gt;=Q88)),IF(OR(G88="05.完了",G88="06.完了（資料記載）"),U88=1,TRUE),IF(N88=0,U88=1,TRUE)),"OK","要確認")</x:f>
        <x:v>OK</x:v>
      </x:c>
    </x:row>
    <x:row r="89" ht="54" customHeight="1">
      <x:c r="A89" s="136" t="str">
        <x:v>00083</x:v>
      </x:c>
      <x:c r="B89" s="202" t="str">
        <x:v>06.結合テスト</x:v>
      </x:c>
      <x:c r="C89" s="56" t="str">
        <x:v>Bronze：既存テーブルを含む全体性能確認</x:v>
      </x:c>
      <x:c r="D89" s="85" t="str">
        <x:v>テスト担当（要確定）</x:v>
      </x:c>
      <x:c r="E89" s="56" t="str">
        <x:v>BronzeLakehouse</x:v>
      </x:c>
      <x:c r="F89" s="143" t="str">
        <x:v>1.高</x:v>
      </x:c>
      <x:c r="G89" s="85" t="str">
        <x:v>00.未確認</x:v>
      </x:c>
      <x:c r="H89" s="150" t="str">
        <x:v>テスト</x:v>
      </x:c>
      <x:c r="I89" s="56" t="str">
        <x:v>共通</x:v>
      </x:c>
      <x:c r="J89" s="157" t="str">
        <x:v>00082</x:v>
      </x:c>
      <x:c r="K89" s="157" t="str">
        <x:v>00068</x:v>
      </x:c>
      <x:c r="L89" s="157" t="str"/>
      <x:c r="M89" s="143" t="n">
        <x:v>1</x:v>
      </x:c>
      <x:c r="N89" s="143" t="n">
        <x:v>3</x:v>
      </x:c>
      <x:c r="O89" s="163" t="n">
        <x:f>IF(OR('設定'!$B$4="",N89=0),"",MAX(WORKDAY.INTL('設定'!$B$4-1,M89,'設定'!$B$6,'設定'!$J$4:$J$53),IF(J89="",0,IF(COUNTIF($A$7:$A$88,J89)=1,IFERROR(IF(INDEX($P$7:$P$88,MATCH(J89,$A$7:$A$88,0),1)=0,0,WORKDAY.INTL(INDEX($P$7:$P$88,MATCH(J89,$A$7:$A$88,0),1),1,'設定'!$B$6,'設定'!$J$4:$J$53)),0),0)),IF(K89="",0,IF(COUNTIF($A$7:$A$88,K89)=1,IFERROR(IF(INDEX($P$7:$P$88,MATCH(K89,$A$7:$A$88,0),1)=0,0,WORKDAY.INTL(INDEX($P$7:$P$88,MATCH(K89,$A$7:$A$88,0),1),1,'設定'!$B$6,'設定'!$J$4:$J$53)),0),0)),IF(L89="",0,IF(COUNTIF($A$7:$A$88,L89)=1,IFERROR(IF(INDEX($P$7:$P$88,MATCH(L89,$A$7:$A$88,0),1)=0,0,WORKDAY.INTL(INDEX($P$7:$P$88,MATCH(L89,$A$7:$A$88,0),1),1,'設定'!$B$6,'設定'!$J$4:$J$53)),0),0))))</x:f>
        <x:v>46412</x:v>
      </x:c>
      <x:c r="P89" s="163" t="n">
        <x:f>IF(O89="","",WORKDAY.INTL(O89,N89-1,'設定'!$B$6,'設定'!$J$4:$J$53))</x:f>
        <x:v>46414</x:v>
      </x:c>
      <x:c r="Q89" s="169"/>
      <x:c r="R89" s="169"/>
      <x:c r="S89" s="143" t="n">
        <x:v>1</x:v>
      </x:c>
      <x:c r="T89" s="143" t="n">
        <x:v>0</x:v>
      </x:c>
      <x:c r="U89" s="175" t="n">
        <x:f>IFERROR(T89/S89,0)</x:f>
        <x:v>0</x:v>
      </x:c>
      <x:c r="V89" s="91" t="str">
        <x:f>IF(U89&gt;=1,IF(R89="","完了（実績日未確認）",IF(P89="","完了",IF(R89&gt;P89,"完了（遅延）","完了"))),IF(G89="04.保留","保留",IF(O89="","未計画",IF('設定'!$B$5&gt;P89,IF(G89="00.未確認","要確認（期限超過）","遅延"),IF('設定'!$B$5&gt;=O89,IF(G89="00.未確認","状況要確認",IF(Q89="","開始要確認","予定内")),"予定前")))))</x:f>
        <x:v>予定前</x:v>
      </x:c>
      <x:c r="W89" s="56" t="str">
        <x:v>54</x:v>
      </x:c>
      <x:c r="X89" s="56" t="str">
        <x:v>原資料展開</x:v>
      </x:c>
      <x:c r="Y89" s="56" t="str">
        <x:v>変更前後・既存処理への影響・処理時間の測定記録</x:v>
      </x:c>
      <x:c r="Z89" s="56" t="str"/>
      <x:c r="AA89" s="181" t="str">
        <x:f>IF(AND(IF(J89="",TRUE,COUNTIF($A$7:$A$88,J89)=1),IF(K89="",TRUE,COUNTIF($A$7:$A$88,K89)=1),IF(L89="",TRUE,COUNTIF($A$7:$A$88,L89)=1),COUNTIF($A$7:$A$107,A89)=1,AND(M89&gt;=1,MOD(M89,1)=0,N89&gt;=0,MOD(N89,1)=0,S89&gt;0,T89&gt;=0,T89&lt;=S89),OR(R89="",AND(Q89&lt;&gt;"",R89&gt;=Q89)),IF(OR(G89="05.完了",G89="06.完了（資料記載）"),U89=1,TRUE),IF(N89=0,U89=1,TRUE)),"OK","要確認")</x:f>
        <x:v>OK</x:v>
      </x:c>
    </x:row>
    <x:row r="90" ht="54" customHeight="1">
      <x:c r="A90" s="135" t="str">
        <x:v>00084</x:v>
      </x:c>
      <x:c r="B90" s="202" t="str">
        <x:v>06.結合テスト</x:v>
      </x:c>
      <x:c r="C90" s="48" t="str">
        <x:v>Silver：既存テーブルを含む全体性能確認</x:v>
      </x:c>
      <x:c r="D90" s="85" t="str">
        <x:v>テスト担当（要確定）</x:v>
      </x:c>
      <x:c r="E90" s="48" t="str">
        <x:v>SilverLakehouse</x:v>
      </x:c>
      <x:c r="F90" s="143" t="str">
        <x:v>1.高</x:v>
      </x:c>
      <x:c r="G90" s="85" t="str">
        <x:v>00.未確認</x:v>
      </x:c>
      <x:c r="H90" s="149" t="str">
        <x:v>テスト</x:v>
      </x:c>
      <x:c r="I90" s="48" t="str">
        <x:v>共通</x:v>
      </x:c>
      <x:c r="J90" s="157" t="str">
        <x:v>00083</x:v>
      </x:c>
      <x:c r="K90" s="157" t="str"/>
      <x:c r="L90" s="157" t="str"/>
      <x:c r="M90" s="143" t="n">
        <x:v>1</x:v>
      </x:c>
      <x:c r="N90" s="143" t="n">
        <x:v>3</x:v>
      </x:c>
      <x:c r="O90" s="163" t="n">
        <x:f>IF(OR('設定'!$B$4="",N90=0),"",MAX(WORKDAY.INTL('設定'!$B$4-1,M90,'設定'!$B$6,'設定'!$J$4:$J$53),IF(J90="",0,IF(COUNTIF($A$7:$A$89,J90)=1,IFERROR(IF(INDEX($P$7:$P$89,MATCH(J90,$A$7:$A$89,0),1)=0,0,WORKDAY.INTL(INDEX($P$7:$P$89,MATCH(J90,$A$7:$A$89,0),1),1,'設定'!$B$6,'設定'!$J$4:$J$53)),0),0)),IF(K90="",0,IF(COUNTIF($A$7:$A$89,K90)=1,IFERROR(IF(INDEX($P$7:$P$89,MATCH(K90,$A$7:$A$89,0),1)=0,0,WORKDAY.INTL(INDEX($P$7:$P$89,MATCH(K90,$A$7:$A$89,0),1),1,'設定'!$B$6,'設定'!$J$4:$J$53)),0),0)),IF(L90="",0,IF(COUNTIF($A$7:$A$89,L90)=1,IFERROR(IF(INDEX($P$7:$P$89,MATCH(L90,$A$7:$A$89,0),1)=0,0,WORKDAY.INTL(INDEX($P$7:$P$89,MATCH(L90,$A$7:$A$89,0),1),1,'設定'!$B$6,'設定'!$J$4:$J$53)),0),0))))</x:f>
        <x:v>46415</x:v>
      </x:c>
      <x:c r="P90" s="163" t="n">
        <x:f>IF(O90="","",WORKDAY.INTL(O90,N90-1,'設定'!$B$6,'設定'!$J$4:$J$53))</x:f>
        <x:v>46419</x:v>
      </x:c>
      <x:c r="Q90" s="169"/>
      <x:c r="R90" s="169"/>
      <x:c r="S90" s="143" t="n">
        <x:v>1</x:v>
      </x:c>
      <x:c r="T90" s="143" t="n">
        <x:v>0</x:v>
      </x:c>
      <x:c r="U90" s="175" t="n">
        <x:f>IFERROR(T90/S90,0)</x:f>
        <x:v>0</x:v>
      </x:c>
      <x:c r="V90" s="91" t="str">
        <x:f>IF(U90&gt;=1,IF(R90="","完了（実績日未確認）",IF(P90="","完了",IF(R90&gt;P90,"完了（遅延）","完了"))),IF(G90="04.保留","保留",IF(O90="","未計画",IF('設定'!$B$5&gt;P90,IF(G90="00.未確認","要確認（期限超過）","遅延"),IF('設定'!$B$5&gt;=O90,IF(G90="00.未確認","状況要確認",IF(Q90="","開始要確認","予定内")),"予定前")))))</x:f>
        <x:v>予定前</x:v>
      </x:c>
      <x:c r="W90" s="48" t="str">
        <x:v>55</x:v>
      </x:c>
      <x:c r="X90" s="48" t="str">
        <x:v>原資料展開</x:v>
      </x:c>
      <x:c r="Y90" s="48" t="str">
        <x:v>既存処理・追加処理の全体性能と回帰確認</x:v>
      </x:c>
      <x:c r="Z90" s="48" t="str"/>
      <x:c r="AA90" s="181" t="str">
        <x:f>IF(AND(IF(J90="",TRUE,COUNTIF($A$7:$A$89,J90)=1),IF(K90="",TRUE,COUNTIF($A$7:$A$89,K90)=1),IF(L90="",TRUE,COUNTIF($A$7:$A$89,L90)=1),COUNTIF($A$7:$A$107,A90)=1,AND(M90&gt;=1,MOD(M90,1)=0,N90&gt;=0,MOD(N90,1)=0,S90&gt;0,T90&gt;=0,T90&lt;=S90),OR(R90="",AND(Q90&lt;&gt;"",R90&gt;=Q90)),IF(OR(G90="05.完了",G90="06.完了（資料記載）"),U90=1,TRUE),IF(N90=0,U90=1,TRUE)),"OK","要確認")</x:f>
        <x:v>OK</x:v>
      </x:c>
    </x:row>
    <x:row r="91" ht="54" customHeight="1">
      <x:c r="A91" s="136" t="str">
        <x:v>00085</x:v>
      </x:c>
      <x:c r="B91" s="202" t="str">
        <x:v>06.結合テスト</x:v>
      </x:c>
      <x:c r="C91" s="56" t="str">
        <x:v>Output：出力・Dataverse連携の性能確認</x:v>
      </x:c>
      <x:c r="D91" s="85" t="str">
        <x:v>テスト担当（要確定）</x:v>
      </x:c>
      <x:c r="E91" s="56" t="str">
        <x:v>OutputLakehouse／Dataverse</x:v>
      </x:c>
      <x:c r="F91" s="143" t="str">
        <x:v>1.高</x:v>
      </x:c>
      <x:c r="G91" s="85" t="str">
        <x:v>00.未確認</x:v>
      </x:c>
      <x:c r="H91" s="150" t="str">
        <x:v>テスト</x:v>
      </x:c>
      <x:c r="I91" s="56" t="str">
        <x:v>共通</x:v>
      </x:c>
      <x:c r="J91" s="157" t="str">
        <x:v>00084</x:v>
      </x:c>
      <x:c r="K91" s="157" t="str">
        <x:v>00067</x:v>
      </x:c>
      <x:c r="L91" s="157" t="str"/>
      <x:c r="M91" s="143" t="n">
        <x:v>1</x:v>
      </x:c>
      <x:c r="N91" s="143" t="n">
        <x:v>3</x:v>
      </x:c>
      <x:c r="O91" s="163" t="n">
        <x:f>IF(OR('設定'!$B$4="",N91=0),"",MAX(WORKDAY.INTL('設定'!$B$4-1,M91,'設定'!$B$6,'設定'!$J$4:$J$53),IF(J91="",0,IF(COUNTIF($A$7:$A$90,J91)=1,IFERROR(IF(INDEX($P$7:$P$90,MATCH(J91,$A$7:$A$90,0),1)=0,0,WORKDAY.INTL(INDEX($P$7:$P$90,MATCH(J91,$A$7:$A$90,0),1),1,'設定'!$B$6,'設定'!$J$4:$J$53)),0),0)),IF(K91="",0,IF(COUNTIF($A$7:$A$90,K91)=1,IFERROR(IF(INDEX($P$7:$P$90,MATCH(K91,$A$7:$A$90,0),1)=0,0,WORKDAY.INTL(INDEX($P$7:$P$90,MATCH(K91,$A$7:$A$90,0),1),1,'設定'!$B$6,'設定'!$J$4:$J$53)),0),0)),IF(L91="",0,IF(COUNTIF($A$7:$A$90,L91)=1,IFERROR(IF(INDEX($P$7:$P$90,MATCH(L91,$A$7:$A$90,0),1)=0,0,WORKDAY.INTL(INDEX($P$7:$P$90,MATCH(L91,$A$7:$A$90,0),1),1,'設定'!$B$6,'設定'!$J$4:$J$53)),0),0))))</x:f>
        <x:v>46420</x:v>
      </x:c>
      <x:c r="P91" s="163" t="n">
        <x:f>IF(O91="","",WORKDAY.INTL(O91,N91-1,'設定'!$B$6,'設定'!$J$4:$J$53))</x:f>
        <x:v>46422</x:v>
      </x:c>
      <x:c r="Q91" s="169"/>
      <x:c r="R91" s="169"/>
      <x:c r="S91" s="143" t="n">
        <x:v>1</x:v>
      </x:c>
      <x:c r="T91" s="143" t="n">
        <x:v>0</x:v>
      </x:c>
      <x:c r="U91" s="175" t="n">
        <x:f>IFERROR(T91/S91,0)</x:f>
        <x:v>0</x:v>
      </x:c>
      <x:c r="V91" s="91" t="str">
        <x:f>IF(U91&gt;=1,IF(R91="","完了（実績日未確認）",IF(P91="","完了",IF(R91&gt;P91,"完了（遅延）","完了"))),IF(G91="04.保留","保留",IF(O91="","未計画",IF('設定'!$B$5&gt;P91,IF(G91="00.未確認","要確認（期限超過）","遅延"),IF('設定'!$B$5&gt;=O91,IF(G91="00.未確認","状況要確認",IF(Q91="","開始要確認","予定内")),"予定前")))))</x:f>
        <x:v>予定前</x:v>
      </x:c>
      <x:c r="W91" s="56" t="str">
        <x:v>56</x:v>
      </x:c>
      <x:c r="X91" s="56" t="str">
        <x:v>原資料展開</x:v>
      </x:c>
      <x:c r="Y91" s="56" t="str">
        <x:v>出力・コピー時間とSLA適合確認</x:v>
      </x:c>
      <x:c r="Z91" s="56" t="str">
        <x:v>8時ごろの許容時刻は要件で合意した値を使用。</x:v>
      </x:c>
      <x:c r="AA91" s="181" t="str">
        <x:f>IF(AND(IF(J91="",TRUE,COUNTIF($A$7:$A$90,J91)=1),IF(K91="",TRUE,COUNTIF($A$7:$A$90,K91)=1),IF(L91="",TRUE,COUNTIF($A$7:$A$90,L91)=1),COUNTIF($A$7:$A$107,A91)=1,AND(M91&gt;=1,MOD(M91,1)=0,N91&gt;=0,MOD(N91,1)=0,S91&gt;0,T91&gt;=0,T91&lt;=S91),OR(R91="",AND(Q91&lt;&gt;"",R91&gt;=Q91)),IF(OR(G91="05.完了",G91="06.完了（資料記載）"),U91=1,TRUE),IF(N91=0,U91=1,TRUE)),"OK","要確認")</x:f>
        <x:v>OK</x:v>
      </x:c>
    </x:row>
    <x:row r="92" ht="54" customHeight="1">
      <x:c r="A92" s="135" t="str">
        <x:v>00086</x:v>
      </x:c>
      <x:c r="B92" s="202" t="str">
        <x:v>06.結合テスト</x:v>
      </x:c>
      <x:c r="C92" s="48" t="str">
        <x:v>結合シナリオ：初回全件連携の確認</x:v>
      </x:c>
      <x:c r="D92" s="85" t="str">
        <x:v>テスト担当（要確定）</x:v>
      </x:c>
      <x:c r="E92" s="48" t="str">
        <x:v>Fabric／Dataverse</x:v>
      </x:c>
      <x:c r="F92" s="143" t="str">
        <x:v>2.中</x:v>
      </x:c>
      <x:c r="G92" s="85" t="str">
        <x:v>00.未確認</x:v>
      </x:c>
      <x:c r="H92" s="149" t="str">
        <x:v>テスト</x:v>
      </x:c>
      <x:c r="I92" s="48" t="str">
        <x:v>共通</x:v>
      </x:c>
      <x:c r="J92" s="157" t="str">
        <x:v>00085</x:v>
      </x:c>
      <x:c r="K92" s="157" t="str"/>
      <x:c r="L92" s="157" t="str"/>
      <x:c r="M92" s="143" t="n">
        <x:v>1</x:v>
      </x:c>
      <x:c r="N92" s="143" t="n">
        <x:v>2</x:v>
      </x:c>
      <x:c r="O92" s="163" t="n">
        <x:f>IF(OR('設定'!$B$4="",N92=0),"",MAX(WORKDAY.INTL('設定'!$B$4-1,M92,'設定'!$B$6,'設定'!$J$4:$J$53),IF(J92="",0,IF(COUNTIF($A$7:$A$91,J92)=1,IFERROR(IF(INDEX($P$7:$P$91,MATCH(J92,$A$7:$A$91,0),1)=0,0,WORKDAY.INTL(INDEX($P$7:$P$91,MATCH(J92,$A$7:$A$91,0),1),1,'設定'!$B$6,'設定'!$J$4:$J$53)),0),0)),IF(K92="",0,IF(COUNTIF($A$7:$A$91,K92)=1,IFERROR(IF(INDEX($P$7:$P$91,MATCH(K92,$A$7:$A$91,0),1)=0,0,WORKDAY.INTL(INDEX($P$7:$P$91,MATCH(K92,$A$7:$A$91,0),1),1,'設定'!$B$6,'設定'!$J$4:$J$53)),0),0)),IF(L92="",0,IF(COUNTIF($A$7:$A$91,L92)=1,IFERROR(IF(INDEX($P$7:$P$91,MATCH(L92,$A$7:$A$91,0),1)=0,0,WORKDAY.INTL(INDEX($P$7:$P$91,MATCH(L92,$A$7:$A$91,0),1),1,'設定'!$B$6,'設定'!$J$4:$J$53)),0),0))))</x:f>
        <x:v>46423</x:v>
      </x:c>
      <x:c r="P92" s="163" t="n">
        <x:f>IF(O92="","",WORKDAY.INTL(O92,N92-1,'設定'!$B$6,'設定'!$J$4:$J$53))</x:f>
        <x:v>46426</x:v>
      </x:c>
      <x:c r="Q92" s="169"/>
      <x:c r="R92" s="169"/>
      <x:c r="S92" s="143" t="n">
        <x:v>1</x:v>
      </x:c>
      <x:c r="T92" s="143" t="n">
        <x:v>0</x:v>
      </x:c>
      <x:c r="U92" s="175" t="n">
        <x:f>IFERROR(T92/S92,0)</x:f>
        <x:v>0</x:v>
      </x:c>
      <x:c r="V92" s="91" t="str">
        <x:f>IF(U92&gt;=1,IF(R92="","完了（実績日未確認）",IF(P92="","完了",IF(R92&gt;P92,"完了（遅延）","完了"))),IF(G92="04.保留","保留",IF(O92="","未計画",IF('設定'!$B$5&gt;P92,IF(G92="00.未確認","要確認（期限超過）","遅延"),IF('設定'!$B$5&gt;=O92,IF(G92="00.未確認","状況要確認",IF(Q92="","開始要確認","予定内")),"予定前")))))</x:f>
        <x:v>予定前</x:v>
      </x:c>
      <x:c r="W92" s="48" t="str">
        <x:v>57</x:v>
      </x:c>
      <x:c r="X92" s="48" t="str">
        <x:v>原資料展開</x:v>
      </x:c>
      <x:c r="Y92" s="48" t="str">
        <x:v>入力→加工→stg／tgt→Dataverseの全件一致確認</x:v>
      </x:c>
      <x:c r="Z92" s="48" t="str"/>
      <x:c r="AA92" s="181" t="str">
        <x:f>IF(AND(IF(J92="",TRUE,COUNTIF($A$7:$A$91,J92)=1),IF(K92="",TRUE,COUNTIF($A$7:$A$91,K92)=1),IF(L92="",TRUE,COUNTIF($A$7:$A$91,L92)=1),COUNTIF($A$7:$A$107,A92)=1,AND(M92&gt;=1,MOD(M92,1)=0,N92&gt;=0,MOD(N92,1)=0,S92&gt;0,T92&gt;=0,T92&lt;=S92),OR(R92="",AND(Q92&lt;&gt;"",R92&gt;=Q92)),IF(OR(G92="05.完了",G92="06.完了（資料記載）"),U92=1,TRUE),IF(N92=0,U92=1,TRUE)),"OK","要確認")</x:f>
        <x:v>OK</x:v>
      </x:c>
    </x:row>
    <x:row r="93" ht="54" customHeight="1">
      <x:c r="A93" s="136" t="str">
        <x:v>00087</x:v>
      </x:c>
      <x:c r="B93" s="202" t="str">
        <x:v>06.結合テスト</x:v>
      </x:c>
      <x:c r="C93" s="56" t="str">
        <x:v>結合シナリオ：差分更新・Watermark連動確認</x:v>
      </x:c>
      <x:c r="D93" s="85" t="str">
        <x:v>テスト担当（要確定）</x:v>
      </x:c>
      <x:c r="E93" s="56" t="str">
        <x:v>Fabric／Dataverse</x:v>
      </x:c>
      <x:c r="F93" s="143" t="str">
        <x:v>2.中</x:v>
      </x:c>
      <x:c r="G93" s="85" t="str">
        <x:v>00.未確認</x:v>
      </x:c>
      <x:c r="H93" s="150" t="str">
        <x:v>テスト</x:v>
      </x:c>
      <x:c r="I93" s="56" t="str">
        <x:v>共通</x:v>
      </x:c>
      <x:c r="J93" s="157" t="str">
        <x:v>00086</x:v>
      </x:c>
      <x:c r="K93" s="157" t="str"/>
      <x:c r="L93" s="157" t="str"/>
      <x:c r="M93" s="143" t="n">
        <x:v>1</x:v>
      </x:c>
      <x:c r="N93" s="143" t="n">
        <x:v>2</x:v>
      </x:c>
      <x:c r="O93" s="163" t="n">
        <x:f>IF(OR('設定'!$B$4="",N93=0),"",MAX(WORKDAY.INTL('設定'!$B$4-1,M93,'設定'!$B$6,'設定'!$J$4:$J$53),IF(J93="",0,IF(COUNTIF($A$7:$A$92,J93)=1,IFERROR(IF(INDEX($P$7:$P$92,MATCH(J93,$A$7:$A$92,0),1)=0,0,WORKDAY.INTL(INDEX($P$7:$P$92,MATCH(J93,$A$7:$A$92,0),1),1,'設定'!$B$6,'設定'!$J$4:$J$53)),0),0)),IF(K93="",0,IF(COUNTIF($A$7:$A$92,K93)=1,IFERROR(IF(INDEX($P$7:$P$92,MATCH(K93,$A$7:$A$92,0),1)=0,0,WORKDAY.INTL(INDEX($P$7:$P$92,MATCH(K93,$A$7:$A$92,0),1),1,'設定'!$B$6,'設定'!$J$4:$J$53)),0),0)),IF(L93="",0,IF(COUNTIF($A$7:$A$92,L93)=1,IFERROR(IF(INDEX($P$7:$P$92,MATCH(L93,$A$7:$A$92,0),1)=0,0,WORKDAY.INTL(INDEX($P$7:$P$92,MATCH(L93,$A$7:$A$92,0),1),1,'設定'!$B$6,'設定'!$J$4:$J$53)),0),0))))</x:f>
        <x:v>46427</x:v>
      </x:c>
      <x:c r="P93" s="163" t="n">
        <x:f>IF(O93="","",WORKDAY.INTL(O93,N93-1,'設定'!$B$6,'設定'!$J$4:$J$53))</x:f>
        <x:v>46428</x:v>
      </x:c>
      <x:c r="Q93" s="169"/>
      <x:c r="R93" s="169"/>
      <x:c r="S93" s="143" t="n">
        <x:v>1</x:v>
      </x:c>
      <x:c r="T93" s="143" t="n">
        <x:v>0</x:v>
      </x:c>
      <x:c r="U93" s="175" t="n">
        <x:f>IFERROR(T93/S93,0)</x:f>
        <x:v>0</x:v>
      </x:c>
      <x:c r="V93" s="91" t="str">
        <x:f>IF(U93&gt;=1,IF(R93="","完了（実績日未確認）",IF(P93="","完了",IF(R93&gt;P93,"完了（遅延）","完了"))),IF(G93="04.保留","保留",IF(O93="","未計画",IF('設定'!$B$5&gt;P93,IF(G93="00.未確認","要確認（期限超過）","遅延"),IF('設定'!$B$5&gt;=O93,IF(G93="00.未確認","状況要確認",IF(Q93="","開始要確認","予定内")),"予定前")))))</x:f>
        <x:v>予定前</x:v>
      </x:c>
      <x:c r="W93" s="56" t="str">
        <x:v>57</x:v>
      </x:c>
      <x:c r="X93" s="56" t="str">
        <x:v>原資料展開</x:v>
      </x:c>
      <x:c r="Y93" s="56" t="str">
        <x:v>差分対象・更新順・Watermark連動の証跡</x:v>
      </x:c>
      <x:c r="Z93" s="56" t="str"/>
      <x:c r="AA93" s="181" t="str">
        <x:f>IF(AND(IF(J93="",TRUE,COUNTIF($A$7:$A$92,J93)=1),IF(K93="",TRUE,COUNTIF($A$7:$A$92,K93)=1),IF(L93="",TRUE,COUNTIF($A$7:$A$92,L93)=1),COUNTIF($A$7:$A$107,A93)=1,AND(M93&gt;=1,MOD(M93,1)=0,N93&gt;=0,MOD(N93,1)=0,S93&gt;0,T93&gt;=0,T93&lt;=S93),OR(R93="",AND(Q93&lt;&gt;"",R93&gt;=Q93)),IF(OR(G93="05.完了",G93="06.完了（資料記載）"),U93=1,TRUE),IF(N93=0,U93=1,TRUE)),"OK","要確認")</x:f>
        <x:v>OK</x:v>
      </x:c>
    </x:row>
    <x:row r="94" ht="54" customHeight="1">
      <x:c r="A94" s="135" t="str">
        <x:v>00088</x:v>
      </x:c>
      <x:c r="B94" s="202" t="str">
        <x:v>06.結合テスト</x:v>
      </x:c>
      <x:c r="C94" s="48" t="str">
        <x:v>結合シナリオ：再実行・重複・更新順確認</x:v>
      </x:c>
      <x:c r="D94" s="85" t="str">
        <x:v>テスト担当（要確定）</x:v>
      </x:c>
      <x:c r="E94" s="48" t="str">
        <x:v>Fabric／Dataverse</x:v>
      </x:c>
      <x:c r="F94" s="143" t="str">
        <x:v>2.中</x:v>
      </x:c>
      <x:c r="G94" s="85" t="str">
        <x:v>00.未確認</x:v>
      </x:c>
      <x:c r="H94" s="149" t="str">
        <x:v>テスト</x:v>
      </x:c>
      <x:c r="I94" s="48" t="str">
        <x:v>共通</x:v>
      </x:c>
      <x:c r="J94" s="157" t="str">
        <x:v>00087</x:v>
      </x:c>
      <x:c r="K94" s="157" t="str"/>
      <x:c r="L94" s="157" t="str"/>
      <x:c r="M94" s="143" t="n">
        <x:v>1</x:v>
      </x:c>
      <x:c r="N94" s="143" t="n">
        <x:v>2</x:v>
      </x:c>
      <x:c r="O94" s="163" t="n">
        <x:f>IF(OR('設定'!$B$4="",N94=0),"",MAX(WORKDAY.INTL('設定'!$B$4-1,M94,'設定'!$B$6,'設定'!$J$4:$J$53),IF(J94="",0,IF(COUNTIF($A$7:$A$93,J94)=1,IFERROR(IF(INDEX($P$7:$P$93,MATCH(J94,$A$7:$A$93,0),1)=0,0,WORKDAY.INTL(INDEX($P$7:$P$93,MATCH(J94,$A$7:$A$93,0),1),1,'設定'!$B$6,'設定'!$J$4:$J$53)),0),0)),IF(K94="",0,IF(COUNTIF($A$7:$A$93,K94)=1,IFERROR(IF(INDEX($P$7:$P$93,MATCH(K94,$A$7:$A$93,0),1)=0,0,WORKDAY.INTL(INDEX($P$7:$P$93,MATCH(K94,$A$7:$A$93,0),1),1,'設定'!$B$6,'設定'!$J$4:$J$53)),0),0)),IF(L94="",0,IF(COUNTIF($A$7:$A$93,L94)=1,IFERROR(IF(INDEX($P$7:$P$93,MATCH(L94,$A$7:$A$93,0),1)=0,0,WORKDAY.INTL(INDEX($P$7:$P$93,MATCH(L94,$A$7:$A$93,0),1),1,'設定'!$B$6,'設定'!$J$4:$J$53)),0),0))))</x:f>
        <x:v>46429</x:v>
      </x:c>
      <x:c r="P94" s="163" t="n">
        <x:f>IF(O94="","",WORKDAY.INTL(O94,N94-1,'設定'!$B$6,'設定'!$J$4:$J$53))</x:f>
        <x:v>46430</x:v>
      </x:c>
      <x:c r="Q94" s="169"/>
      <x:c r="R94" s="169"/>
      <x:c r="S94" s="143" t="n">
        <x:v>1</x:v>
      </x:c>
      <x:c r="T94" s="143" t="n">
        <x:v>0</x:v>
      </x:c>
      <x:c r="U94" s="175" t="n">
        <x:f>IFERROR(T94/S94,0)</x:f>
        <x:v>0</x:v>
      </x:c>
      <x:c r="V94" s="91" t="str">
        <x:f>IF(U94&gt;=1,IF(R94="","完了（実績日未確認）",IF(P94="","完了",IF(R94&gt;P94,"完了（遅延）","完了"))),IF(G94="04.保留","保留",IF(O94="","未計画",IF('設定'!$B$5&gt;P94,IF(G94="00.未確認","要確認（期限超過）","遅延"),IF('設定'!$B$5&gt;=O94,IF(G94="00.未確認","状況要確認",IF(Q94="","開始要確認","予定内")),"予定前")))))</x:f>
        <x:v>予定前</x:v>
      </x:c>
      <x:c r="W94" s="48" t="str">
        <x:v>57</x:v>
      </x:c>
      <x:c r="X94" s="48" t="str">
        <x:v>原資料展開</x:v>
      </x:c>
      <x:c r="Y94" s="48" t="str">
        <x:v>再実行時の一致性・重複防止・順序の確認</x:v>
      </x:c>
      <x:c r="Z94" s="48" t="str"/>
      <x:c r="AA94" s="181" t="str">
        <x:f>IF(AND(IF(J94="",TRUE,COUNTIF($A$7:$A$93,J94)=1),IF(K94="",TRUE,COUNTIF($A$7:$A$93,K94)=1),IF(L94="",TRUE,COUNTIF($A$7:$A$93,L94)=1),COUNTIF($A$7:$A$107,A94)=1,AND(M94&gt;=1,MOD(M94,1)=0,N94&gt;=0,MOD(N94,1)=0,S94&gt;0,T94&gt;=0,T94&lt;=S94),OR(R94="",AND(Q94&lt;&gt;"",R94&gt;=Q94)),IF(OR(G94="05.完了",G94="06.完了（資料記載）"),U94=1,TRUE),IF(N94=0,U94=1,TRUE)),"OK","要確認")</x:f>
        <x:v>OK</x:v>
      </x:c>
    </x:row>
    <x:row r="95" ht="54" customHeight="1">
      <x:c r="A95" s="136" t="str">
        <x:v>00089</x:v>
      </x:c>
      <x:c r="B95" s="202" t="str">
        <x:v>06.結合テスト</x:v>
      </x:c>
      <x:c r="C95" s="56" t="str">
        <x:v>例外対応：異常検知・メール通知確認</x:v>
      </x:c>
      <x:c r="D95" s="85" t="str">
        <x:v>テスト／運用担当（要確定）</x:v>
      </x:c>
      <x:c r="E95" s="56" t="str">
        <x:v>Fabric／メール</x:v>
      </x:c>
      <x:c r="F95" s="143" t="str">
        <x:v>2.中</x:v>
      </x:c>
      <x:c r="G95" s="85" t="str">
        <x:v>00.未確認</x:v>
      </x:c>
      <x:c r="H95" s="150" t="str">
        <x:v>テスト</x:v>
      </x:c>
      <x:c r="I95" s="56" t="str">
        <x:v>共通</x:v>
      </x:c>
      <x:c r="J95" s="157" t="str">
        <x:v>00088</x:v>
      </x:c>
      <x:c r="K95" s="157" t="str">
        <x:v>00007</x:v>
      </x:c>
      <x:c r="L95" s="157" t="str"/>
      <x:c r="M95" s="143" t="n">
        <x:v>1</x:v>
      </x:c>
      <x:c r="N95" s="143" t="n">
        <x:v>2</x:v>
      </x:c>
      <x:c r="O95" s="163" t="n">
        <x:f>IF(OR('設定'!$B$4="",N95=0),"",MAX(WORKDAY.INTL('設定'!$B$4-1,M95,'設定'!$B$6,'設定'!$J$4:$J$53),IF(J95="",0,IF(COUNTIF($A$7:$A$94,J95)=1,IFERROR(IF(INDEX($P$7:$P$94,MATCH(J95,$A$7:$A$94,0),1)=0,0,WORKDAY.INTL(INDEX($P$7:$P$94,MATCH(J95,$A$7:$A$94,0),1),1,'設定'!$B$6,'設定'!$J$4:$J$53)),0),0)),IF(K95="",0,IF(COUNTIF($A$7:$A$94,K95)=1,IFERROR(IF(INDEX($P$7:$P$94,MATCH(K95,$A$7:$A$94,0),1)=0,0,WORKDAY.INTL(INDEX($P$7:$P$94,MATCH(K95,$A$7:$A$94,0),1),1,'設定'!$B$6,'設定'!$J$4:$J$53)),0),0)),IF(L95="",0,IF(COUNTIF($A$7:$A$94,L95)=1,IFERROR(IF(INDEX($P$7:$P$94,MATCH(L95,$A$7:$A$94,0),1)=0,0,WORKDAY.INTL(INDEX($P$7:$P$94,MATCH(L95,$A$7:$A$94,0),1),1,'設定'!$B$6,'設定'!$J$4:$J$53)),0),0))))</x:f>
        <x:v>46433</x:v>
      </x:c>
      <x:c r="P95" s="163" t="n">
        <x:f>IF(O95="","",WORKDAY.INTL(O95,N95-1,'設定'!$B$6,'設定'!$J$4:$J$53))</x:f>
        <x:v>46434</x:v>
      </x:c>
      <x:c r="Q95" s="169"/>
      <x:c r="R95" s="169"/>
      <x:c r="S95" s="143" t="n">
        <x:v>1</x:v>
      </x:c>
      <x:c r="T95" s="143" t="n">
        <x:v>0</x:v>
      </x:c>
      <x:c r="U95" s="175" t="n">
        <x:f>IFERROR(T95/S95,0)</x:f>
        <x:v>0</x:v>
      </x:c>
      <x:c r="V95" s="91" t="str">
        <x:f>IF(U95&gt;=1,IF(R95="","完了（実績日未確認）",IF(P95="","完了",IF(R95&gt;P95,"完了（遅延）","完了"))),IF(G95="04.保留","保留",IF(O95="","未計画",IF('設定'!$B$5&gt;P95,IF(G95="00.未確認","要確認（期限超過）","遅延"),IF('設定'!$B$5&gt;=O95,IF(G95="00.未確認","状況要確認",IF(Q95="","開始要確認","予定内")),"予定前")))))</x:f>
        <x:v>予定前</x:v>
      </x:c>
      <x:c r="W95" s="56" t="str">
        <x:v>58</x:v>
      </x:c>
      <x:c r="X95" s="56" t="str">
        <x:v>原資料展開</x:v>
      </x:c>
      <x:c r="Y95" s="56" t="str">
        <x:v>接続・データ・処理異常時の通知内容と宛先確認</x:v>
      </x:c>
      <x:c r="Z95" s="56" t="str"/>
      <x:c r="AA95" s="181" t="str">
        <x:f>IF(AND(IF(J95="",TRUE,COUNTIF($A$7:$A$94,J95)=1),IF(K95="",TRUE,COUNTIF($A$7:$A$94,K95)=1),IF(L95="",TRUE,COUNTIF($A$7:$A$94,L95)=1),COUNTIF($A$7:$A$107,A95)=1,AND(M95&gt;=1,MOD(M95,1)=0,N95&gt;=0,MOD(N95,1)=0,S95&gt;0,T95&gt;=0,T95&lt;=S95),OR(R95="",AND(Q95&lt;&gt;"",R95&gt;=Q95)),IF(OR(G95="05.完了",G95="06.完了（資料記載）"),U95=1,TRUE),IF(N95=0,U95=1,TRUE)),"OK","要確認")</x:f>
        <x:v>OK</x:v>
      </x:c>
    </x:row>
    <x:row r="96" ht="54" customHeight="1">
      <x:c r="A96" s="135" t="str">
        <x:v>00090</x:v>
      </x:c>
      <x:c r="B96" s="202" t="str">
        <x:v>06.結合テスト</x:v>
      </x:c>
      <x:c r="C96" s="48" t="str">
        <x:v>例外対応：復旧・部分失敗・再開確認</x:v>
      </x:c>
      <x:c r="D96" s="85" t="str">
        <x:v>テスト／運用担当（要確定）</x:v>
      </x:c>
      <x:c r="E96" s="48" t="str">
        <x:v>Fabric／Dataverse</x:v>
      </x:c>
      <x:c r="F96" s="143" t="str">
        <x:v>2.中</x:v>
      </x:c>
      <x:c r="G96" s="85" t="str">
        <x:v>00.未確認</x:v>
      </x:c>
      <x:c r="H96" s="149" t="str">
        <x:v>テスト</x:v>
      </x:c>
      <x:c r="I96" s="48" t="str">
        <x:v>共通</x:v>
      </x:c>
      <x:c r="J96" s="157" t="str">
        <x:v>00089</x:v>
      </x:c>
      <x:c r="K96" s="157" t="str"/>
      <x:c r="L96" s="157" t="str"/>
      <x:c r="M96" s="143" t="n">
        <x:v>1</x:v>
      </x:c>
      <x:c r="N96" s="143" t="n">
        <x:v>2</x:v>
      </x:c>
      <x:c r="O96" s="163" t="n">
        <x:f>IF(OR('設定'!$B$4="",N96=0),"",MAX(WORKDAY.INTL('設定'!$B$4-1,M96,'設定'!$B$6,'設定'!$J$4:$J$53),IF(J96="",0,IF(COUNTIF($A$7:$A$95,J96)=1,IFERROR(IF(INDEX($P$7:$P$95,MATCH(J96,$A$7:$A$95,0),1)=0,0,WORKDAY.INTL(INDEX($P$7:$P$95,MATCH(J96,$A$7:$A$95,0),1),1,'設定'!$B$6,'設定'!$J$4:$J$53)),0),0)),IF(K96="",0,IF(COUNTIF($A$7:$A$95,K96)=1,IFERROR(IF(INDEX($P$7:$P$95,MATCH(K96,$A$7:$A$95,0),1)=0,0,WORKDAY.INTL(INDEX($P$7:$P$95,MATCH(K96,$A$7:$A$95,0),1),1,'設定'!$B$6,'設定'!$J$4:$J$53)),0),0)),IF(L96="",0,IF(COUNTIF($A$7:$A$95,L96)=1,IFERROR(IF(INDEX($P$7:$P$95,MATCH(L96,$A$7:$A$95,0),1)=0,0,WORKDAY.INTL(INDEX($P$7:$P$95,MATCH(L96,$A$7:$A$95,0),1),1,'設定'!$B$6,'設定'!$J$4:$J$53)),0),0))))</x:f>
        <x:v>46435</x:v>
      </x:c>
      <x:c r="P96" s="163" t="n">
        <x:f>IF(O96="","",WORKDAY.INTL(O96,N96-1,'設定'!$B$6,'設定'!$J$4:$J$53))</x:f>
        <x:v>46436</x:v>
      </x:c>
      <x:c r="Q96" s="169"/>
      <x:c r="R96" s="169"/>
      <x:c r="S96" s="143" t="n">
        <x:v>1</x:v>
      </x:c>
      <x:c r="T96" s="143" t="n">
        <x:v>0</x:v>
      </x:c>
      <x:c r="U96" s="175" t="n">
        <x:f>IFERROR(T96/S96,0)</x:f>
        <x:v>0</x:v>
      </x:c>
      <x:c r="V96" s="91" t="str">
        <x:f>IF(U96&gt;=1,IF(R96="","完了（実績日未確認）",IF(P96="","完了",IF(R96&gt;P96,"完了（遅延）","完了"))),IF(G96="04.保留","保留",IF(O96="","未計画",IF('設定'!$B$5&gt;P96,IF(G96="00.未確認","要確認（期限超過）","遅延"),IF('設定'!$B$5&gt;=O96,IF(G96="00.未確認","状況要確認",IF(Q96="","開始要確認","予定内")),"予定前")))))</x:f>
        <x:v>予定前</x:v>
      </x:c>
      <x:c r="W96" s="48" t="str">
        <x:v>58</x:v>
      </x:c>
      <x:c r="X96" s="48" t="str">
        <x:v>原資料展開</x:v>
      </x:c>
      <x:c r="Y96" s="48" t="str">
        <x:v>部分失敗からの復旧手順・整合性の確認</x:v>
      </x:c>
      <x:c r="Z96" s="48" t="str"/>
      <x:c r="AA96" s="181" t="str">
        <x:f>IF(AND(IF(J96="",TRUE,COUNTIF($A$7:$A$95,J96)=1),IF(K96="",TRUE,COUNTIF($A$7:$A$95,K96)=1),IF(L96="",TRUE,COUNTIF($A$7:$A$95,L96)=1),COUNTIF($A$7:$A$107,A96)=1,AND(M96&gt;=1,MOD(M96,1)=0,N96&gt;=0,MOD(N96,1)=0,S96&gt;0,T96&gt;=0,T96&lt;=S96),OR(R96="",AND(Q96&lt;&gt;"",R96&gt;=Q96)),IF(OR(G96="05.完了",G96="06.完了（資料記載）"),U96=1,TRUE),IF(N96=0,U96=1,TRUE)),"OK","要確認")</x:f>
        <x:v>OK</x:v>
      </x:c>
    </x:row>
    <x:row r="97" ht="54" customHeight="1">
      <x:c r="A97" s="136" t="str">
        <x:v>00091</x:v>
      </x:c>
      <x:c r="B97" s="202" t="str">
        <x:v>06.結合テスト</x:v>
      </x:c>
      <x:c r="C97" s="56" t="str">
        <x:v>結合不具合再確認・UAT移行判定</x:v>
      </x:c>
      <x:c r="D97" s="85" t="str">
        <x:v>品質／業務担当（要確定）</x:v>
      </x:c>
      <x:c r="E97" s="56" t="str">
        <x:v>Fabric</x:v>
      </x:c>
      <x:c r="F97" s="143" t="str">
        <x:v>1.高</x:v>
      </x:c>
      <x:c r="G97" s="85" t="str">
        <x:v>00.未確認</x:v>
      </x:c>
      <x:c r="H97" s="150" t="str">
        <x:v>テスト</x:v>
      </x:c>
      <x:c r="I97" s="56" t="str">
        <x:v>共通</x:v>
      </x:c>
      <x:c r="J97" s="157" t="str">
        <x:v>00090</x:v>
      </x:c>
      <x:c r="K97" s="157" t="str"/>
      <x:c r="L97" s="157" t="str"/>
      <x:c r="M97" s="143" t="n">
        <x:v>1</x:v>
      </x:c>
      <x:c r="N97" s="143" t="n">
        <x:v>3</x:v>
      </x:c>
      <x:c r="O97" s="163" t="n">
        <x:f>IF(OR('設定'!$B$4="",N97=0),"",MAX(WORKDAY.INTL('設定'!$B$4-1,M97,'設定'!$B$6,'設定'!$J$4:$J$53),IF(J97="",0,IF(COUNTIF($A$7:$A$96,J97)=1,IFERROR(IF(INDEX($P$7:$P$96,MATCH(J97,$A$7:$A$96,0),1)=0,0,WORKDAY.INTL(INDEX($P$7:$P$96,MATCH(J97,$A$7:$A$96,0),1),1,'設定'!$B$6,'設定'!$J$4:$J$53)),0),0)),IF(K97="",0,IF(COUNTIF($A$7:$A$96,K97)=1,IFERROR(IF(INDEX($P$7:$P$96,MATCH(K97,$A$7:$A$96,0),1)=0,0,WORKDAY.INTL(INDEX($P$7:$P$96,MATCH(K97,$A$7:$A$96,0),1),1,'設定'!$B$6,'設定'!$J$4:$J$53)),0),0)),IF(L97="",0,IF(COUNTIF($A$7:$A$96,L97)=1,IFERROR(IF(INDEX($P$7:$P$96,MATCH(L97,$A$7:$A$96,0),1)=0,0,WORKDAY.INTL(INDEX($P$7:$P$96,MATCH(L97,$A$7:$A$96,0),1),1,'設定'!$B$6,'設定'!$J$4:$J$53)),0),0))))</x:f>
        <x:v>46437</x:v>
      </x:c>
      <x:c r="P97" s="163" t="n">
        <x:f>IF(O97="","",WORKDAY.INTL(O97,N97-1,'設定'!$B$6,'設定'!$J$4:$J$53))</x:f>
        <x:v>46441</x:v>
      </x:c>
      <x:c r="Q97" s="169"/>
      <x:c r="R97" s="169"/>
      <x:c r="S97" s="143" t="n">
        <x:v>1</x:v>
      </x:c>
      <x:c r="T97" s="143" t="n">
        <x:v>0</x:v>
      </x:c>
      <x:c r="U97" s="175" t="n">
        <x:f>IFERROR(T97/S97,0)</x:f>
        <x:v>0</x:v>
      </x:c>
      <x:c r="V97" s="91" t="str">
        <x:f>IF(U97&gt;=1,IF(R97="","完了（実績日未確認）",IF(P97="","完了",IF(R97&gt;P97,"完了（遅延）","完了"))),IF(G97="04.保留","保留",IF(O97="","未計画",IF('設定'!$B$5&gt;P97,IF(G97="00.未確認","要確認（期限超過）","遅延"),IF('設定'!$B$5&gt;=O97,IF(G97="00.未確認","状況要確認",IF(Q97="","開始要確認","予定内")),"予定前")))))</x:f>
        <x:v>予定前</x:v>
      </x:c>
      <x:c r="W97" s="56" t="str">
        <x:v>54／55／56／57／58</x:v>
      </x:c>
      <x:c r="X97" s="56" t="str">
        <x:v>補足（テスト完了判定）</x:v>
      </x:c>
      <x:c r="Y97" s="56" t="str">
        <x:v>修正後再試験・残課題・UAT開始の判定記録</x:v>
      </x:c>
      <x:c r="Z97" s="56" t="str"/>
      <x:c r="AA97" s="181" t="str">
        <x:f>IF(AND(IF(J97="",TRUE,COUNTIF($A$7:$A$96,J97)=1),IF(K97="",TRUE,COUNTIF($A$7:$A$96,K97)=1),IF(L97="",TRUE,COUNTIF($A$7:$A$96,L97)=1),COUNTIF($A$7:$A$107,A97)=1,AND(M97&gt;=1,MOD(M97,1)=0,N97&gt;=0,MOD(N97,1)=0,S97&gt;0,T97&gt;=0,T97&lt;=S97),OR(R97="",AND(Q97&lt;&gt;"",R97&gt;=Q97)),IF(OR(G97="05.完了",G97="06.完了（資料記載）"),U97=1,TRUE),IF(N97=0,U97=1,TRUE)),"OK","要確認")</x:f>
        <x:v>OK</x:v>
      </x:c>
    </x:row>
    <x:row r="98" ht="54" customHeight="1">
      <x:c r="A98" s="135" t="str">
        <x:v>00092</x:v>
      </x:c>
      <x:c r="B98" s="204" t="str">
        <x:v>07.UAT</x:v>
      </x:c>
      <x:c r="C98" s="48" t="str">
        <x:v>UATシナリオ・利用者・判定基準の準備</x:v>
      </x:c>
      <x:c r="D98" s="85" t="str">
        <x:v>業務／UAT担当（要確定）</x:v>
      </x:c>
      <x:c r="E98" s="48" t="str">
        <x:v>Fabric</x:v>
      </x:c>
      <x:c r="F98" s="143" t="str">
        <x:v>2.中</x:v>
      </x:c>
      <x:c r="G98" s="85" t="str">
        <x:v>00.未確認</x:v>
      </x:c>
      <x:c r="H98" s="149" t="str">
        <x:v>テスト</x:v>
      </x:c>
      <x:c r="I98" s="48" t="str">
        <x:v>共通</x:v>
      </x:c>
      <x:c r="J98" s="157" t="str">
        <x:v>00023</x:v>
      </x:c>
      <x:c r="K98" s="157" t="str">
        <x:v>00086</x:v>
      </x:c>
      <x:c r="L98" s="157" t="str"/>
      <x:c r="M98" s="143" t="n">
        <x:v>1</x:v>
      </x:c>
      <x:c r="N98" s="143" t="n">
        <x:v>2</x:v>
      </x:c>
      <x:c r="O98" s="163" t="n">
        <x:f>IF(OR('設定'!$B$4="",N98=0),"",MAX(WORKDAY.INTL('設定'!$B$4-1,M98,'設定'!$B$6,'設定'!$J$4:$J$53),IF(J98="",0,IF(COUNTIF($A$7:$A$97,J98)=1,IFERROR(IF(INDEX($P$7:$P$97,MATCH(J98,$A$7:$A$97,0),1)=0,0,WORKDAY.INTL(INDEX($P$7:$P$97,MATCH(J98,$A$7:$A$97,0),1),1,'設定'!$B$6,'設定'!$J$4:$J$53)),0),0)),IF(K98="",0,IF(COUNTIF($A$7:$A$97,K98)=1,IFERROR(IF(INDEX($P$7:$P$97,MATCH(K98,$A$7:$A$97,0),1)=0,0,WORKDAY.INTL(INDEX($P$7:$P$97,MATCH(K98,$A$7:$A$97,0),1),1,'設定'!$B$6,'設定'!$J$4:$J$53)),0),0)),IF(L98="",0,IF(COUNTIF($A$7:$A$97,L98)=1,IFERROR(IF(INDEX($P$7:$P$97,MATCH(L98,$A$7:$A$97,0),1)=0,0,WORKDAY.INTL(INDEX($P$7:$P$97,MATCH(L98,$A$7:$A$97,0),1),1,'設定'!$B$6,'設定'!$J$4:$J$53)),0),0))))</x:f>
        <x:v>46427</x:v>
      </x:c>
      <x:c r="P98" s="163" t="n">
        <x:f>IF(O98="","",WORKDAY.INTL(O98,N98-1,'設定'!$B$6,'設定'!$J$4:$J$53))</x:f>
        <x:v>46428</x:v>
      </x:c>
      <x:c r="Q98" s="169"/>
      <x:c r="R98" s="169"/>
      <x:c r="S98" s="143" t="n">
        <x:v>1</x:v>
      </x:c>
      <x:c r="T98" s="143" t="n">
        <x:v>0</x:v>
      </x:c>
      <x:c r="U98" s="175" t="n">
        <x:f>IFERROR(T98/S98,0)</x:f>
        <x:v>0</x:v>
      </x:c>
      <x:c r="V98" s="91" t="str">
        <x:f>IF(U98&gt;=1,IF(R98="","完了（実績日未確認）",IF(P98="","完了",IF(R98&gt;P98,"完了（遅延）","完了"))),IF(G98="04.保留","保留",IF(O98="","未計画",IF('設定'!$B$5&gt;P98,IF(G98="00.未確認","要確認（期限超過）","遅延"),IF('設定'!$B$5&gt;=O98,IF(G98="00.未確認","状況要確認",IF(Q98="","開始要確認","予定内")),"予定前")))))</x:f>
        <x:v>予定前</x:v>
      </x:c>
      <x:c r="W98" s="48" t="str">
        <x:v>59／60／61／62／63</x:v>
      </x:c>
      <x:c r="X98" s="48" t="str">
        <x:v>補足（UAT準備）</x:v>
      </x:c>
      <x:c r="Y98" s="48" t="str">
        <x:v>5テーブルの業務シナリオ・実施者・判定基準</x:v>
      </x:c>
      <x:c r="Z98" s="48" t="str"/>
      <x:c r="AA98" s="181" t="str">
        <x:f>IF(AND(IF(J98="",TRUE,COUNTIF($A$7:$A$97,J98)=1),IF(K98="",TRUE,COUNTIF($A$7:$A$97,K98)=1),IF(L98="",TRUE,COUNTIF($A$7:$A$97,L98)=1),COUNTIF($A$7:$A$107,A98)=1,AND(M98&gt;=1,MOD(M98,1)=0,N98&gt;=0,MOD(N98,1)=0,S98&gt;0,T98&gt;=0,T98&lt;=S98),OR(R98="",AND(Q98&lt;&gt;"",R98&gt;=Q98)),IF(OR(G98="05.完了",G98="06.完了（資料記載）"),U98=1,TRUE),IF(N98=0,U98=1,TRUE)),"OK","要確認")</x:f>
        <x:v>OK</x:v>
      </x:c>
    </x:row>
    <x:row r="99" ht="54" customHeight="1">
      <x:c r="A99" s="136" t="str">
        <x:v>00093</x:v>
      </x:c>
      <x:c r="B99" s="204" t="str">
        <x:v>07.UAT</x:v>
      </x:c>
      <x:c r="C99" s="56" t="str">
        <x:v>Product：UAT・業務受入確認</x:v>
      </x:c>
      <x:c r="D99" s="85" t="str">
        <x:v>業務／UAT担当（要確定）</x:v>
      </x:c>
      <x:c r="E99" s="56" t="str">
        <x:v>Dataverse／Fabric</x:v>
      </x:c>
      <x:c r="F99" s="143" t="str">
        <x:v>2.中</x:v>
      </x:c>
      <x:c r="G99" s="85" t="str">
        <x:v>00.未確認</x:v>
      </x:c>
      <x:c r="H99" s="150" t="str">
        <x:v>テスト</x:v>
      </x:c>
      <x:c r="I99" s="56" t="str">
        <x:v>Product</x:v>
      </x:c>
      <x:c r="J99" s="157" t="str">
        <x:v>00091</x:v>
      </x:c>
      <x:c r="K99" s="157" t="str">
        <x:v>00092</x:v>
      </x:c>
      <x:c r="L99" s="157" t="str"/>
      <x:c r="M99" s="143" t="n">
        <x:v>1</x:v>
      </x:c>
      <x:c r="N99" s="143" t="n">
        <x:v>2</x:v>
      </x:c>
      <x:c r="O99" s="163" t="n">
        <x:f>IF(OR('設定'!$B$4="",N99=0),"",MAX(WORKDAY.INTL('設定'!$B$4-1,M99,'設定'!$B$6,'設定'!$J$4:$J$53),IF(J99="",0,IF(COUNTIF($A$7:$A$98,J99)=1,IFERROR(IF(INDEX($P$7:$P$98,MATCH(J99,$A$7:$A$98,0),1)=0,0,WORKDAY.INTL(INDEX($P$7:$P$98,MATCH(J99,$A$7:$A$98,0),1),1,'設定'!$B$6,'設定'!$J$4:$J$53)),0),0)),IF(K99="",0,IF(COUNTIF($A$7:$A$98,K99)=1,IFERROR(IF(INDEX($P$7:$P$98,MATCH(K99,$A$7:$A$98,0),1)=0,0,WORKDAY.INTL(INDEX($P$7:$P$98,MATCH(K99,$A$7:$A$98,0),1),1,'設定'!$B$6,'設定'!$J$4:$J$53)),0),0)),IF(L99="",0,IF(COUNTIF($A$7:$A$98,L99)=1,IFERROR(IF(INDEX($P$7:$P$98,MATCH(L99,$A$7:$A$98,0),1)=0,0,WORKDAY.INTL(INDEX($P$7:$P$98,MATCH(L99,$A$7:$A$98,0),1),1,'設定'!$B$6,'設定'!$J$4:$J$53)),0),0))))</x:f>
        <x:v>46442</x:v>
      </x:c>
      <x:c r="P99" s="163" t="n">
        <x:f>IF(O99="","",WORKDAY.INTL(O99,N99-1,'設定'!$B$6,'設定'!$J$4:$J$53))</x:f>
        <x:v>46443</x:v>
      </x:c>
      <x:c r="Q99" s="169"/>
      <x:c r="R99" s="169"/>
      <x:c r="S99" s="143" t="n">
        <x:v>1</x:v>
      </x:c>
      <x:c r="T99" s="143" t="n">
        <x:v>0</x:v>
      </x:c>
      <x:c r="U99" s="175" t="n">
        <x:f>IFERROR(T99/S99,0)</x:f>
        <x:v>0</x:v>
      </x:c>
      <x:c r="V99" s="91" t="str">
        <x:f>IF(U99&gt;=1,IF(R99="","完了（実績日未確認）",IF(P99="","完了",IF(R99&gt;P99,"完了（遅延）","完了"))),IF(G99="04.保留","保留",IF(O99="","未計画",IF('設定'!$B$5&gt;P99,IF(G99="00.未確認","要確認（期限超過）","遅延"),IF('設定'!$B$5&gt;=O99,IF(G99="00.未確認","状況要確認",IF(Q99="","開始要確認","予定内")),"予定前")))))</x:f>
        <x:v>予定前</x:v>
      </x:c>
      <x:c r="W99" s="56" t="str">
        <x:v>59</x:v>
      </x:c>
      <x:c r="X99" s="56" t="str">
        <x:v>原資料展開</x:v>
      </x:c>
      <x:c r="Y99" s="56" t="str">
        <x:v>Productの受入結果・不具合記録・業務確認</x:v>
      </x:c>
      <x:c r="Z99" s="56" t="str"/>
      <x:c r="AA99" s="181" t="str">
        <x:f>IF(AND(IF(J99="",TRUE,COUNTIF($A$7:$A$98,J99)=1),IF(K99="",TRUE,COUNTIF($A$7:$A$98,K99)=1),IF(L99="",TRUE,COUNTIF($A$7:$A$98,L99)=1),COUNTIF($A$7:$A$107,A99)=1,AND(M99&gt;=1,MOD(M99,1)=0,N99&gt;=0,MOD(N99,1)=0,S99&gt;0,T99&gt;=0,T99&lt;=S99),OR(R99="",AND(Q99&lt;&gt;"",R99&gt;=Q99)),IF(OR(G99="05.完了",G99="06.完了（資料記載）"),U99=1,TRUE),IF(N99=0,U99=1,TRUE)),"OK","要確認")</x:f>
        <x:v>OK</x:v>
      </x:c>
    </x:row>
    <x:row r="100" ht="54" customHeight="1">
      <x:c r="A100" s="135" t="str">
        <x:v>00094</x:v>
      </x:c>
      <x:c r="B100" s="204" t="str">
        <x:v>07.UAT</x:v>
      </x:c>
      <x:c r="C100" s="48" t="str">
        <x:v>Contact：UAT・業務受入確認</x:v>
      </x:c>
      <x:c r="D100" s="85" t="str">
        <x:v>業務／UAT担当（要確定）</x:v>
      </x:c>
      <x:c r="E100" s="48" t="str">
        <x:v>Dataverse／Fabric</x:v>
      </x:c>
      <x:c r="F100" s="143" t="str">
        <x:v>2.中</x:v>
      </x:c>
      <x:c r="G100" s="85" t="str">
        <x:v>00.未確認</x:v>
      </x:c>
      <x:c r="H100" s="149" t="str">
        <x:v>テスト</x:v>
      </x:c>
      <x:c r="I100" s="48" t="str">
        <x:v>Contact</x:v>
      </x:c>
      <x:c r="J100" s="157" t="str">
        <x:v>00093</x:v>
      </x:c>
      <x:c r="K100" s="157" t="str">
        <x:v>00092</x:v>
      </x:c>
      <x:c r="L100" s="157" t="str"/>
      <x:c r="M100" s="143" t="n">
        <x:v>1</x:v>
      </x:c>
      <x:c r="N100" s="143" t="n">
        <x:v>2</x:v>
      </x:c>
      <x:c r="O100" s="163" t="n">
        <x:f>IF(OR('設定'!$B$4="",N100=0),"",MAX(WORKDAY.INTL('設定'!$B$4-1,M100,'設定'!$B$6,'設定'!$J$4:$J$53),IF(J100="",0,IF(COUNTIF($A$7:$A$99,J100)=1,IFERROR(IF(INDEX($P$7:$P$99,MATCH(J100,$A$7:$A$99,0),1)=0,0,WORKDAY.INTL(INDEX($P$7:$P$99,MATCH(J100,$A$7:$A$99,0),1),1,'設定'!$B$6,'設定'!$J$4:$J$53)),0),0)),IF(K100="",0,IF(COUNTIF($A$7:$A$99,K100)=1,IFERROR(IF(INDEX($P$7:$P$99,MATCH(K100,$A$7:$A$99,0),1)=0,0,WORKDAY.INTL(INDEX($P$7:$P$99,MATCH(K100,$A$7:$A$99,0),1),1,'設定'!$B$6,'設定'!$J$4:$J$53)),0),0)),IF(L100="",0,IF(COUNTIF($A$7:$A$99,L100)=1,IFERROR(IF(INDEX($P$7:$P$99,MATCH(L100,$A$7:$A$99,0),1)=0,0,WORKDAY.INTL(INDEX($P$7:$P$99,MATCH(L100,$A$7:$A$99,0),1),1,'設定'!$B$6,'設定'!$J$4:$J$53)),0),0))))</x:f>
        <x:v>46444</x:v>
      </x:c>
      <x:c r="P100" s="163" t="n">
        <x:f>IF(O100="","",WORKDAY.INTL(O100,N100-1,'設定'!$B$6,'設定'!$J$4:$J$53))</x:f>
        <x:v>46447</x:v>
      </x:c>
      <x:c r="Q100" s="169"/>
      <x:c r="R100" s="169"/>
      <x:c r="S100" s="143" t="n">
        <x:v>1</x:v>
      </x:c>
      <x:c r="T100" s="143" t="n">
        <x:v>0</x:v>
      </x:c>
      <x:c r="U100" s="175" t="n">
        <x:f>IFERROR(T100/S100,0)</x:f>
        <x:v>0</x:v>
      </x:c>
      <x:c r="V100" s="91" t="str">
        <x:f>IF(U100&gt;=1,IF(R100="","完了（実績日未確認）",IF(P100="","完了",IF(R100&gt;P100,"完了（遅延）","完了"))),IF(G100="04.保留","保留",IF(O100="","未計画",IF('設定'!$B$5&gt;P100,IF(G100="00.未確認","要確認（期限超過）","遅延"),IF('設定'!$B$5&gt;=O100,IF(G100="00.未確認","状況要確認",IF(Q100="","開始要確認","予定内")),"予定前")))))</x:f>
        <x:v>予定前</x:v>
      </x:c>
      <x:c r="W100" s="48" t="str">
        <x:v>60</x:v>
      </x:c>
      <x:c r="X100" s="48" t="str">
        <x:v>原資料展開</x:v>
      </x:c>
      <x:c r="Y100" s="48" t="str">
        <x:v>Contactの受入結果・不具合記録・業務確認</x:v>
      </x:c>
      <x:c r="Z100" s="48" t="str"/>
      <x:c r="AA100" s="181" t="str">
        <x:f>IF(AND(IF(J100="",TRUE,COUNTIF($A$7:$A$99,J100)=1),IF(K100="",TRUE,COUNTIF($A$7:$A$99,K100)=1),IF(L100="",TRUE,COUNTIF($A$7:$A$99,L100)=1),COUNTIF($A$7:$A$107,A100)=1,AND(M100&gt;=1,MOD(M100,1)=0,N100&gt;=0,MOD(N100,1)=0,S100&gt;0,T100&gt;=0,T100&lt;=S100),OR(R100="",AND(Q100&lt;&gt;"",R100&gt;=Q100)),IF(OR(G100="05.完了",G100="06.完了（資料記載）"),U100=1,TRUE),IF(N100=0,U100=1,TRUE)),"OK","要確認")</x:f>
        <x:v>OK</x:v>
      </x:c>
    </x:row>
    <x:row r="101" ht="54" customHeight="1">
      <x:c r="A101" s="136" t="str">
        <x:v>00095</x:v>
      </x:c>
      <x:c r="B101" s="204" t="str">
        <x:v>07.UAT</x:v>
      </x:c>
      <x:c r="C101" s="56" t="str">
        <x:v>Account：UAT・業務受入確認</x:v>
      </x:c>
      <x:c r="D101" s="85" t="str">
        <x:v>業務／UAT担当（要確定）</x:v>
      </x:c>
      <x:c r="E101" s="56" t="str">
        <x:v>Dataverse／Fabric</x:v>
      </x:c>
      <x:c r="F101" s="143" t="str">
        <x:v>2.中</x:v>
      </x:c>
      <x:c r="G101" s="85" t="str">
        <x:v>00.未確認</x:v>
      </x:c>
      <x:c r="H101" s="150" t="str">
        <x:v>テスト</x:v>
      </x:c>
      <x:c r="I101" s="56" t="str">
        <x:v>Account</x:v>
      </x:c>
      <x:c r="J101" s="157" t="str">
        <x:v>00094</x:v>
      </x:c>
      <x:c r="K101" s="157" t="str">
        <x:v>00092</x:v>
      </x:c>
      <x:c r="L101" s="157" t="str"/>
      <x:c r="M101" s="143" t="n">
        <x:v>1</x:v>
      </x:c>
      <x:c r="N101" s="143" t="n">
        <x:v>2</x:v>
      </x:c>
      <x:c r="O101" s="163" t="n">
        <x:f>IF(OR('設定'!$B$4="",N101=0),"",MAX(WORKDAY.INTL('設定'!$B$4-1,M101,'設定'!$B$6,'設定'!$J$4:$J$53),IF(J101="",0,IF(COUNTIF($A$7:$A$100,J101)=1,IFERROR(IF(INDEX($P$7:$P$100,MATCH(J101,$A$7:$A$100,0),1)=0,0,WORKDAY.INTL(INDEX($P$7:$P$100,MATCH(J101,$A$7:$A$100,0),1),1,'設定'!$B$6,'設定'!$J$4:$J$53)),0),0)),IF(K101="",0,IF(COUNTIF($A$7:$A$100,K101)=1,IFERROR(IF(INDEX($P$7:$P$100,MATCH(K101,$A$7:$A$100,0),1)=0,0,WORKDAY.INTL(INDEX($P$7:$P$100,MATCH(K101,$A$7:$A$100,0),1),1,'設定'!$B$6,'設定'!$J$4:$J$53)),0),0)),IF(L101="",0,IF(COUNTIF($A$7:$A$100,L101)=1,IFERROR(IF(INDEX($P$7:$P$100,MATCH(L101,$A$7:$A$100,0),1)=0,0,WORKDAY.INTL(INDEX($P$7:$P$100,MATCH(L101,$A$7:$A$100,0),1),1,'設定'!$B$6,'設定'!$J$4:$J$53)),0),0))))</x:f>
        <x:v>46448</x:v>
      </x:c>
      <x:c r="P101" s="163" t="n">
        <x:f>IF(O101="","",WORKDAY.INTL(O101,N101-1,'設定'!$B$6,'設定'!$J$4:$J$53))</x:f>
        <x:v>46449</x:v>
      </x:c>
      <x:c r="Q101" s="169"/>
      <x:c r="R101" s="169"/>
      <x:c r="S101" s="143" t="n">
        <x:v>1</x:v>
      </x:c>
      <x:c r="T101" s="143" t="n">
        <x:v>0</x:v>
      </x:c>
      <x:c r="U101" s="175" t="n">
        <x:f>IFERROR(T101/S101,0)</x:f>
        <x:v>0</x:v>
      </x:c>
      <x:c r="V101" s="91" t="str">
        <x:f>IF(U101&gt;=1,IF(R101="","完了（実績日未確認）",IF(P101="","完了",IF(R101&gt;P101,"完了（遅延）","完了"))),IF(G101="04.保留","保留",IF(O101="","未計画",IF('設定'!$B$5&gt;P101,IF(G101="00.未確認","要確認（期限超過）","遅延"),IF('設定'!$B$5&gt;=O101,IF(G101="00.未確認","状況要確認",IF(Q101="","開始要確認","予定内")),"予定前")))))</x:f>
        <x:v>予定前</x:v>
      </x:c>
      <x:c r="W101" s="56" t="str">
        <x:v>61</x:v>
      </x:c>
      <x:c r="X101" s="56" t="str">
        <x:v>原資料展開</x:v>
      </x:c>
      <x:c r="Y101" s="56" t="str">
        <x:v>Accountの受入結果・不具合記録・業務確認</x:v>
      </x:c>
      <x:c r="Z101" s="56" t="str"/>
      <x:c r="AA101" s="181" t="str">
        <x:f>IF(AND(IF(J101="",TRUE,COUNTIF($A$7:$A$100,J101)=1),IF(K101="",TRUE,COUNTIF($A$7:$A$100,K101)=1),IF(L101="",TRUE,COUNTIF($A$7:$A$100,L101)=1),COUNTIF($A$7:$A$107,A101)=1,AND(M101&gt;=1,MOD(M101,1)=0,N101&gt;=0,MOD(N101,1)=0,S101&gt;0,T101&gt;=0,T101&lt;=S101),OR(R101="",AND(Q101&lt;&gt;"",R101&gt;=Q101)),IF(OR(G101="05.完了",G101="06.完了（資料記載）"),U101=1,TRUE),IF(N101=0,U101=1,TRUE)),"OK","要確認")</x:f>
        <x:v>OK</x:v>
      </x:c>
    </x:row>
    <x:row r="102" ht="54" customHeight="1">
      <x:c r="A102" s="135" t="str">
        <x:v>00096</x:v>
      </x:c>
      <x:c r="B102" s="204" t="str">
        <x:v>07.UAT</x:v>
      </x:c>
      <x:c r="C102" s="48" t="str">
        <x:v>AccountContact：UAT・業務受入確認</x:v>
      </x:c>
      <x:c r="D102" s="85" t="str">
        <x:v>業務／UAT担当（要確定）</x:v>
      </x:c>
      <x:c r="E102" s="48" t="str">
        <x:v>Dataverse／Fabric</x:v>
      </x:c>
      <x:c r="F102" s="143" t="str">
        <x:v>2.中</x:v>
      </x:c>
      <x:c r="G102" s="85" t="str">
        <x:v>00.未確認</x:v>
      </x:c>
      <x:c r="H102" s="149" t="str">
        <x:v>テスト</x:v>
      </x:c>
      <x:c r="I102" s="48" t="str">
        <x:v>AccountContact</x:v>
      </x:c>
      <x:c r="J102" s="157" t="str">
        <x:v>00095</x:v>
      </x:c>
      <x:c r="K102" s="157" t="str">
        <x:v>00092</x:v>
      </x:c>
      <x:c r="L102" s="157" t="str"/>
      <x:c r="M102" s="143" t="n">
        <x:v>1</x:v>
      </x:c>
      <x:c r="N102" s="143" t="n">
        <x:v>2</x:v>
      </x:c>
      <x:c r="O102" s="163" t="n">
        <x:f>IF(OR('設定'!$B$4="",N102=0),"",MAX(WORKDAY.INTL('設定'!$B$4-1,M102,'設定'!$B$6,'設定'!$J$4:$J$53),IF(J102="",0,IF(COUNTIF($A$7:$A$101,J102)=1,IFERROR(IF(INDEX($P$7:$P$101,MATCH(J102,$A$7:$A$101,0),1)=0,0,WORKDAY.INTL(INDEX($P$7:$P$101,MATCH(J102,$A$7:$A$101,0),1),1,'設定'!$B$6,'設定'!$J$4:$J$53)),0),0)),IF(K102="",0,IF(COUNTIF($A$7:$A$101,K102)=1,IFERROR(IF(INDEX($P$7:$P$101,MATCH(K102,$A$7:$A$101,0),1)=0,0,WORKDAY.INTL(INDEX($P$7:$P$101,MATCH(K102,$A$7:$A$101,0),1),1,'設定'!$B$6,'設定'!$J$4:$J$53)),0),0)),IF(L102="",0,IF(COUNTIF($A$7:$A$101,L102)=1,IFERROR(IF(INDEX($P$7:$P$101,MATCH(L102,$A$7:$A$101,0),1)=0,0,WORKDAY.INTL(INDEX($P$7:$P$101,MATCH(L102,$A$7:$A$101,0),1),1,'設定'!$B$6,'設定'!$J$4:$J$53)),0),0))))</x:f>
        <x:v>46450</x:v>
      </x:c>
      <x:c r="P102" s="163" t="n">
        <x:f>IF(O102="","",WORKDAY.INTL(O102,N102-1,'設定'!$B$6,'設定'!$J$4:$J$53))</x:f>
        <x:v>46451</x:v>
      </x:c>
      <x:c r="Q102" s="169"/>
      <x:c r="R102" s="169"/>
      <x:c r="S102" s="143" t="n">
        <x:v>1</x:v>
      </x:c>
      <x:c r="T102" s="143" t="n">
        <x:v>0</x:v>
      </x:c>
      <x:c r="U102" s="175" t="n">
        <x:f>IFERROR(T102/S102,0)</x:f>
        <x:v>0</x:v>
      </x:c>
      <x:c r="V102" s="91" t="str">
        <x:f>IF(U102&gt;=1,IF(R102="","完了（実績日未確認）",IF(P102="","完了",IF(R102&gt;P102,"完了（遅延）","完了"))),IF(G102="04.保留","保留",IF(O102="","未計画",IF('設定'!$B$5&gt;P102,IF(G102="00.未確認","要確認（期限超過）","遅延"),IF('設定'!$B$5&gt;=O102,IF(G102="00.未確認","状況要確認",IF(Q102="","開始要確認","予定内")),"予定前")))))</x:f>
        <x:v>予定前</x:v>
      </x:c>
      <x:c r="W102" s="48" t="str">
        <x:v>62</x:v>
      </x:c>
      <x:c r="X102" s="48" t="str">
        <x:v>原資料展開</x:v>
      </x:c>
      <x:c r="Y102" s="48" t="str">
        <x:v>AccountContactの受入結果・不具合記録・業務確認</x:v>
      </x:c>
      <x:c r="Z102" s="48" t="str"/>
      <x:c r="AA102" s="181" t="str">
        <x:f>IF(AND(IF(J102="",TRUE,COUNTIF($A$7:$A$101,J102)=1),IF(K102="",TRUE,COUNTIF($A$7:$A$101,K102)=1),IF(L102="",TRUE,COUNTIF($A$7:$A$101,L102)=1),COUNTIF($A$7:$A$107,A102)=1,AND(M102&gt;=1,MOD(M102,1)=0,N102&gt;=0,MOD(N102,1)=0,S102&gt;0,T102&gt;=0,T102&lt;=S102),OR(R102="",AND(Q102&lt;&gt;"",R102&gt;=Q102)),IF(OR(G102="05.完了",G102="06.完了（資料記載）"),U102=1,TRUE),IF(N102=0,U102=1,TRUE)),"OK","要確認")</x:f>
        <x:v>OK</x:v>
      </x:c>
    </x:row>
    <x:row r="103" ht="54" customHeight="1">
      <x:c r="A103" s="136" t="str">
        <x:v>00097</x:v>
      </x:c>
      <x:c r="B103" s="204" t="str">
        <x:v>07.UAT</x:v>
      </x:c>
      <x:c r="C103" s="56" t="str">
        <x:v>SalesRepHospital：UAT・業務受入確認</x:v>
      </x:c>
      <x:c r="D103" s="85" t="str">
        <x:v>業務／UAT担当（要確定）</x:v>
      </x:c>
      <x:c r="E103" s="56" t="str">
        <x:v>Dataverse／Fabric</x:v>
      </x:c>
      <x:c r="F103" s="143" t="str">
        <x:v>2.中</x:v>
      </x:c>
      <x:c r="G103" s="85" t="str">
        <x:v>00.未確認</x:v>
      </x:c>
      <x:c r="H103" s="150" t="str">
        <x:v>テスト</x:v>
      </x:c>
      <x:c r="I103" s="56" t="str">
        <x:v>SalesRepHospital</x:v>
      </x:c>
      <x:c r="J103" s="157" t="str">
        <x:v>00096</x:v>
      </x:c>
      <x:c r="K103" s="157" t="str">
        <x:v>00092</x:v>
      </x:c>
      <x:c r="L103" s="157" t="str"/>
      <x:c r="M103" s="143" t="n">
        <x:v>1</x:v>
      </x:c>
      <x:c r="N103" s="143" t="n">
        <x:v>2</x:v>
      </x:c>
      <x:c r="O103" s="163" t="n">
        <x:f>IF(OR('設定'!$B$4="",N103=0),"",MAX(WORKDAY.INTL('設定'!$B$4-1,M103,'設定'!$B$6,'設定'!$J$4:$J$53),IF(J103="",0,IF(COUNTIF($A$7:$A$102,J103)=1,IFERROR(IF(INDEX($P$7:$P$102,MATCH(J103,$A$7:$A$102,0),1)=0,0,WORKDAY.INTL(INDEX($P$7:$P$102,MATCH(J103,$A$7:$A$102,0),1),1,'設定'!$B$6,'設定'!$J$4:$J$53)),0),0)),IF(K103="",0,IF(COUNTIF($A$7:$A$102,K103)=1,IFERROR(IF(INDEX($P$7:$P$102,MATCH(K103,$A$7:$A$102,0),1)=0,0,WORKDAY.INTL(INDEX($P$7:$P$102,MATCH(K103,$A$7:$A$102,0),1),1,'設定'!$B$6,'設定'!$J$4:$J$53)),0),0)),IF(L103="",0,IF(COUNTIF($A$7:$A$102,L103)=1,IFERROR(IF(INDEX($P$7:$P$102,MATCH(L103,$A$7:$A$102,0),1)=0,0,WORKDAY.INTL(INDEX($P$7:$P$102,MATCH(L103,$A$7:$A$102,0),1),1,'設定'!$B$6,'設定'!$J$4:$J$53)),0),0))))</x:f>
        <x:v>46454</x:v>
      </x:c>
      <x:c r="P103" s="163" t="n">
        <x:f>IF(O103="","",WORKDAY.INTL(O103,N103-1,'設定'!$B$6,'設定'!$J$4:$J$53))</x:f>
        <x:v>46455</x:v>
      </x:c>
      <x:c r="Q103" s="169"/>
      <x:c r="R103" s="169"/>
      <x:c r="S103" s="143" t="n">
        <x:v>1</x:v>
      </x:c>
      <x:c r="T103" s="143" t="n">
        <x:v>0</x:v>
      </x:c>
      <x:c r="U103" s="175" t="n">
        <x:f>IFERROR(T103/S103,0)</x:f>
        <x:v>0</x:v>
      </x:c>
      <x:c r="V103" s="91" t="str">
        <x:f>IF(U103&gt;=1,IF(R103="","完了（実績日未確認）",IF(P103="","完了",IF(R103&gt;P103,"完了（遅延）","完了"))),IF(G103="04.保留","保留",IF(O103="","未計画",IF('設定'!$B$5&gt;P103,IF(G103="00.未確認","要確認（期限超過）","遅延"),IF('設定'!$B$5&gt;=O103,IF(G103="00.未確認","状況要確認",IF(Q103="","開始要確認","予定内")),"予定前")))))</x:f>
        <x:v>予定前</x:v>
      </x:c>
      <x:c r="W103" s="56" t="str">
        <x:v>63</x:v>
      </x:c>
      <x:c r="X103" s="56" t="str">
        <x:v>原資料展開</x:v>
      </x:c>
      <x:c r="Y103" s="56" t="str">
        <x:v>SalesRepHospitalの受入結果・不具合記録・業務確認</x:v>
      </x:c>
      <x:c r="Z103" s="56" t="str"/>
      <x:c r="AA103" s="181" t="str">
        <x:f>IF(AND(IF(J103="",TRUE,COUNTIF($A$7:$A$102,J103)=1),IF(K103="",TRUE,COUNTIF($A$7:$A$102,K103)=1),IF(L103="",TRUE,COUNTIF($A$7:$A$102,L103)=1),COUNTIF($A$7:$A$107,A103)=1,AND(M103&gt;=1,MOD(M103,1)=0,N103&gt;=0,MOD(N103,1)=0,S103&gt;0,T103&gt;=0,T103&lt;=S103),OR(R103="",AND(Q103&lt;&gt;"",R103&gt;=Q103)),IF(OR(G103="05.完了",G103="06.完了（資料記載）"),U103=1,TRUE),IF(N103=0,U103=1,TRUE)),"OK","要確認")</x:f>
        <x:v>OK</x:v>
      </x:c>
    </x:row>
    <x:row r="104" ht="54" customHeight="1">
      <x:c r="A104" s="135" t="str">
        <x:v>00098</x:v>
      </x:c>
      <x:c r="B104" s="204" t="str">
        <x:v>07.UAT</x:v>
      </x:c>
      <x:c r="C104" s="48" t="str">
        <x:v>UAT結果レビュー・受入合意</x:v>
      </x:c>
      <x:c r="D104" s="85" t="str">
        <x:v>業務責任者（要確定）</x:v>
      </x:c>
      <x:c r="E104" s="48" t="str">
        <x:v>Fabric</x:v>
      </x:c>
      <x:c r="F104" s="143" t="str">
        <x:v>1.高</x:v>
      </x:c>
      <x:c r="G104" s="85" t="str">
        <x:v>00.未確認</x:v>
      </x:c>
      <x:c r="H104" s="149" t="str">
        <x:v>テスト</x:v>
      </x:c>
      <x:c r="I104" s="48" t="str">
        <x:v>共通</x:v>
      </x:c>
      <x:c r="J104" s="157" t="str">
        <x:v>00097</x:v>
      </x:c>
      <x:c r="K104" s="157" t="str"/>
      <x:c r="L104" s="157" t="str"/>
      <x:c r="M104" s="143" t="n">
        <x:v>1</x:v>
      </x:c>
      <x:c r="N104" s="143" t="n">
        <x:v>1</x:v>
      </x:c>
      <x:c r="O104" s="163" t="n">
        <x:f>IF(OR('設定'!$B$4="",N104=0),"",MAX(WORKDAY.INTL('設定'!$B$4-1,M104,'設定'!$B$6,'設定'!$J$4:$J$53),IF(J104="",0,IF(COUNTIF($A$7:$A$103,J104)=1,IFERROR(IF(INDEX($P$7:$P$103,MATCH(J104,$A$7:$A$103,0),1)=0,0,WORKDAY.INTL(INDEX($P$7:$P$103,MATCH(J104,$A$7:$A$103,0),1),1,'設定'!$B$6,'設定'!$J$4:$J$53)),0),0)),IF(K104="",0,IF(COUNTIF($A$7:$A$103,K104)=1,IFERROR(IF(INDEX($P$7:$P$103,MATCH(K104,$A$7:$A$103,0),1)=0,0,WORKDAY.INTL(INDEX($P$7:$P$103,MATCH(K104,$A$7:$A$103,0),1),1,'設定'!$B$6,'設定'!$J$4:$J$53)),0),0)),IF(L104="",0,IF(COUNTIF($A$7:$A$103,L104)=1,IFERROR(IF(INDEX($P$7:$P$103,MATCH(L104,$A$7:$A$103,0),1)=0,0,WORKDAY.INTL(INDEX($P$7:$P$103,MATCH(L104,$A$7:$A$103,0),1),1,'設定'!$B$6,'設定'!$J$4:$J$53)),0),0))))</x:f>
        <x:v>46456</x:v>
      </x:c>
      <x:c r="P104" s="163" t="n">
        <x:f>IF(O104="","",WORKDAY.INTL(O104,N104-1,'設定'!$B$6,'設定'!$J$4:$J$53))</x:f>
        <x:v>46456</x:v>
      </x:c>
      <x:c r="Q104" s="169"/>
      <x:c r="R104" s="169"/>
      <x:c r="S104" s="143" t="n">
        <x:v>1</x:v>
      </x:c>
      <x:c r="T104" s="143" t="n">
        <x:v>0</x:v>
      </x:c>
      <x:c r="U104" s="175" t="n">
        <x:f>IFERROR(T104/S104,0)</x:f>
        <x:v>0</x:v>
      </x:c>
      <x:c r="V104" s="91" t="str">
        <x:f>IF(U104&gt;=1,IF(R104="","完了（実績日未確認）",IF(P104="","完了",IF(R104&gt;P104,"完了（遅延）","完了"))),IF(G104="04.保留","保留",IF(O104="","未計画",IF('設定'!$B$5&gt;P104,IF(G104="00.未確認","要確認（期限超過）","遅延"),IF('設定'!$B$5&gt;=O104,IF(G104="00.未確認","状況要確認",IF(Q104="","開始要確認","予定内")),"予定前")))))</x:f>
        <x:v>予定前</x:v>
      </x:c>
      <x:c r="W104" s="48" t="str">
        <x:v>59／60／61／62／63</x:v>
      </x:c>
      <x:c r="X104" s="48" t="str">
        <x:v>補足（UAT完了判定）</x:v>
      </x:c>
      <x:c r="Y104" s="48" t="str">
        <x:v>受入合意・残課題・運用移管条件</x:v>
      </x:c>
      <x:c r="Z104" s="48" t="str"/>
      <x:c r="AA104" s="181" t="str">
        <x:f>IF(AND(IF(J104="",TRUE,COUNTIF($A$7:$A$103,J104)=1),IF(K104="",TRUE,COUNTIF($A$7:$A$103,K104)=1),IF(L104="",TRUE,COUNTIF($A$7:$A$103,L104)=1),COUNTIF($A$7:$A$107,A104)=1,AND(M104&gt;=1,MOD(M104,1)=0,N104&gt;=0,MOD(N104,1)=0,S104&gt;0,T104&gt;=0,T104&lt;=S104),OR(R104="",AND(Q104&lt;&gt;"",R104&gt;=Q104)),IF(OR(G104="05.完了",G104="06.完了（資料記載）"),U104=1,TRUE),IF(N104=0,U104=1,TRUE)),"OK","要確認")</x:f>
        <x:v>OK</x:v>
      </x:c>
    </x:row>
    <x:row r="105" ht="54" customHeight="1">
      <x:c r="A105" s="136" t="str">
        <x:v>00099</x:v>
      </x:c>
      <x:c r="B105" s="206" t="str">
        <x:v>08.KT</x:v>
      </x:c>
      <x:c r="C105" s="56" t="str">
        <x:v>GoldLayer運用手順・構成・障害対応資料作成</x:v>
      </x:c>
      <x:c r="D105" s="85" t="str">
        <x:v>開発／運用担当（要確定）</x:v>
      </x:c>
      <x:c r="E105" s="56" t="str">
        <x:v>GoldLayer</x:v>
      </x:c>
      <x:c r="F105" s="143" t="str">
        <x:v>2.中</x:v>
      </x:c>
      <x:c r="G105" s="85" t="str">
        <x:v>00.未確認</x:v>
      </x:c>
      <x:c r="H105" s="150" t="str">
        <x:v>共通</x:v>
      </x:c>
      <x:c r="I105" s="56" t="str">
        <x:v>共通</x:v>
      </x:c>
      <x:c r="J105" s="157" t="str">
        <x:v>00067</x:v>
      </x:c>
      <x:c r="K105" s="157" t="str">
        <x:v>00082</x:v>
      </x:c>
      <x:c r="L105" s="157" t="str"/>
      <x:c r="M105" s="143" t="n">
        <x:v>1</x:v>
      </x:c>
      <x:c r="N105" s="143" t="n">
        <x:v>3</x:v>
      </x:c>
      <x:c r="O105" s="163" t="n">
        <x:f>IF(OR('設定'!$B$4="",N105=0),"",MAX(WORKDAY.INTL('設定'!$B$4-1,M105,'設定'!$B$6,'設定'!$J$4:$J$53),IF(J105="",0,IF(COUNTIF($A$7:$A$104,J105)=1,IFERROR(IF(INDEX($P$7:$P$104,MATCH(J105,$A$7:$A$104,0),1)=0,0,WORKDAY.INTL(INDEX($P$7:$P$104,MATCH(J105,$A$7:$A$104,0),1),1,'設定'!$B$6,'設定'!$J$4:$J$53)),0),0)),IF(K105="",0,IF(COUNTIF($A$7:$A$104,K105)=1,IFERROR(IF(INDEX($P$7:$P$104,MATCH(K105,$A$7:$A$104,0),1)=0,0,WORKDAY.INTL(INDEX($P$7:$P$104,MATCH(K105,$A$7:$A$104,0),1),1,'設定'!$B$6,'設定'!$J$4:$J$53)),0),0)),IF(L105="",0,IF(COUNTIF($A$7:$A$104,L105)=1,IFERROR(IF(INDEX($P$7:$P$104,MATCH(L105,$A$7:$A$104,0),1)=0,0,WORKDAY.INTL(INDEX($P$7:$P$104,MATCH(L105,$A$7:$A$104,0),1),1,'設定'!$B$6,'設定'!$J$4:$J$53)),0),0))))</x:f>
        <x:v>46408</x:v>
      </x:c>
      <x:c r="P105" s="163" t="n">
        <x:f>IF(O105="","",WORKDAY.INTL(O105,N105-1,'設定'!$B$6,'設定'!$J$4:$J$53))</x:f>
        <x:v>46412</x:v>
      </x:c>
      <x:c r="Q105" s="169"/>
      <x:c r="R105" s="169"/>
      <x:c r="S105" s="143" t="n">
        <x:v>1</x:v>
      </x:c>
      <x:c r="T105" s="143" t="n">
        <x:v>0</x:v>
      </x:c>
      <x:c r="U105" s="175" t="n">
        <x:f>IFERROR(T105/S105,0)</x:f>
        <x:v>0</x:v>
      </x:c>
      <x:c r="V105" s="91" t="str">
        <x:f>IF(U105&gt;=1,IF(R105="","完了（実績日未確認）",IF(P105="","完了",IF(R105&gt;P105,"完了（遅延）","完了"))),IF(G105="04.保留","保留",IF(O105="","未計画",IF('設定'!$B$5&gt;P105,IF(G105="00.未確認","要確認（期限超過）","遅延"),IF('設定'!$B$5&gt;=O105,IF(G105="00.未確認","状況要確認",IF(Q105="","開始要確認","予定内")),"予定前")))))</x:f>
        <x:v>予定前</x:v>
      </x:c>
      <x:c r="W105" s="56" t="str">
        <x:v>64</x:v>
      </x:c>
      <x:c r="X105" s="56" t="str">
        <x:v>原資料展開</x:v>
      </x:c>
      <x:c r="Y105" s="56" t="str">
        <x:v>実行・監視・権限・差分更新・復旧・共通関数の運用資料</x:v>
      </x:c>
      <x:c r="Z105" s="56" t="str"/>
      <x:c r="AA105" s="181" t="str">
        <x:f>IF(AND(IF(J105="",TRUE,COUNTIF($A$7:$A$104,J105)=1),IF(K105="",TRUE,COUNTIF($A$7:$A$104,K105)=1),IF(L105="",TRUE,COUNTIF($A$7:$A$104,L105)=1),COUNTIF($A$7:$A$107,A105)=1,AND(M105&gt;=1,MOD(M105,1)=0,N105&gt;=0,MOD(N105,1)=0,S105&gt;0,T105&gt;=0,T105&lt;=S105),OR(R105="",AND(Q105&lt;&gt;"",R105&gt;=Q105)),IF(OR(G105="05.完了",G105="06.完了（資料記載）"),U105=1,TRUE),IF(N105=0,U105=1,TRUE)),"OK","要確認")</x:f>
        <x:v>OK</x:v>
      </x:c>
    </x:row>
    <x:row r="106" ht="54" customHeight="1">
      <x:c r="A106" s="135" t="str">
        <x:v>00100</x:v>
      </x:c>
      <x:c r="B106" s="206" t="str">
        <x:v>08.KT</x:v>
      </x:c>
      <x:c r="C106" s="48" t="str">
        <x:v>Datalake運用チーム向けGoldLayer KT実施</x:v>
      </x:c>
      <x:c r="D106" s="85" t="str">
        <x:v>開発担当／Datalake運用チーム</x:v>
      </x:c>
      <x:c r="E106" s="48" t="str">
        <x:v>GoldLayer</x:v>
      </x:c>
      <x:c r="F106" s="143" t="str">
        <x:v>1.高</x:v>
      </x:c>
      <x:c r="G106" s="85" t="str">
        <x:v>00.未確認</x:v>
      </x:c>
      <x:c r="H106" s="149" t="str">
        <x:v>共通</x:v>
      </x:c>
      <x:c r="I106" s="48" t="str">
        <x:v>共通</x:v>
      </x:c>
      <x:c r="J106" s="157" t="str">
        <x:v>00099</x:v>
      </x:c>
      <x:c r="K106" s="157" t="str">
        <x:v>00098</x:v>
      </x:c>
      <x:c r="L106" s="157" t="str"/>
      <x:c r="M106" s="143" t="n">
        <x:v>1</x:v>
      </x:c>
      <x:c r="N106" s="143" t="n">
        <x:v>2</x:v>
      </x:c>
      <x:c r="O106" s="163" t="n">
        <x:f>IF(OR('設定'!$B$4="",N106=0),"",MAX(WORKDAY.INTL('設定'!$B$4-1,M106,'設定'!$B$6,'設定'!$J$4:$J$53),IF(J106="",0,IF(COUNTIF($A$7:$A$105,J106)=1,IFERROR(IF(INDEX($P$7:$P$105,MATCH(J106,$A$7:$A$105,0),1)=0,0,WORKDAY.INTL(INDEX($P$7:$P$105,MATCH(J106,$A$7:$A$105,0),1),1,'設定'!$B$6,'設定'!$J$4:$J$53)),0),0)),IF(K106="",0,IF(COUNTIF($A$7:$A$105,K106)=1,IFERROR(IF(INDEX($P$7:$P$105,MATCH(K106,$A$7:$A$105,0),1)=0,0,WORKDAY.INTL(INDEX($P$7:$P$105,MATCH(K106,$A$7:$A$105,0),1),1,'設定'!$B$6,'設定'!$J$4:$J$53)),0),0)),IF(L106="",0,IF(COUNTIF($A$7:$A$105,L106)=1,IFERROR(IF(INDEX($P$7:$P$105,MATCH(L106,$A$7:$A$105,0),1)=0,0,WORKDAY.INTL(INDEX($P$7:$P$105,MATCH(L106,$A$7:$A$105,0),1),1,'設定'!$B$6,'設定'!$J$4:$J$53)),0),0))))</x:f>
        <x:v>46457</x:v>
      </x:c>
      <x:c r="P106" s="163" t="n">
        <x:f>IF(O106="","",WORKDAY.INTL(O106,N106-1,'設定'!$B$6,'設定'!$J$4:$J$53))</x:f>
        <x:v>46458</x:v>
      </x:c>
      <x:c r="Q106" s="169"/>
      <x:c r="R106" s="169"/>
      <x:c r="S106" s="143" t="n">
        <x:v>1</x:v>
      </x:c>
      <x:c r="T106" s="143" t="n">
        <x:v>0</x:v>
      </x:c>
      <x:c r="U106" s="175" t="n">
        <x:f>IFERROR(T106/S106,0)</x:f>
        <x:v>0</x:v>
      </x:c>
      <x:c r="V106" s="91" t="str">
        <x:f>IF(U106&gt;=1,IF(R106="","完了（実績日未確認）",IF(P106="","完了",IF(R106&gt;P106,"完了（遅延）","完了"))),IF(G106="04.保留","保留",IF(O106="","未計画",IF('設定'!$B$5&gt;P106,IF(G106="00.未確認","要確認（期限超過）","遅延"),IF('設定'!$B$5&gt;=O106,IF(G106="00.未確認","状況要確認",IF(Q106="","開始要確認","予定内")),"予定前")))))</x:f>
        <x:v>予定前</x:v>
      </x:c>
      <x:c r="W106" s="48" t="str">
        <x:v>64</x:v>
      </x:c>
      <x:c r="X106" s="48" t="str">
        <x:v>原資料展開</x:v>
      </x:c>
      <x:c r="Y106" s="48" t="str">
        <x:v>KT実施記録・説明資料・運用操作の確認</x:v>
      </x:c>
      <x:c r="Z106" s="48" t="str"/>
      <x:c r="AA106" s="181" t="str">
        <x:f>IF(AND(IF(J106="",TRUE,COUNTIF($A$7:$A$105,J106)=1),IF(K106="",TRUE,COUNTIF($A$7:$A$105,K106)=1),IF(L106="",TRUE,COUNTIF($A$7:$A$105,L106)=1),COUNTIF($A$7:$A$107,A106)=1,AND(M106&gt;=1,MOD(M106,1)=0,N106&gt;=0,MOD(N106,1)=0,S106&gt;0,T106&gt;=0,T106&lt;=S106),OR(R106="",AND(Q106&lt;&gt;"",R106&gt;=Q106)),IF(OR(G106="05.完了",G106="06.完了（資料記載）"),U106=1,TRUE),IF(N106=0,U106=1,TRUE)),"OK","要確認")</x:f>
        <x:v>OK</x:v>
      </x:c>
    </x:row>
    <x:row r="107" ht="54" customHeight="1">
      <x:c r="A107" s="137" t="str">
        <x:v>00101</x:v>
      </x:c>
      <x:c r="B107" s="208" t="str">
        <x:v>08.KT</x:v>
      </x:c>
      <x:c r="C107" s="66" t="str">
        <x:v>KT質疑対応・引継ぎ完了確認</x:v>
      </x:c>
      <x:c r="D107" s="86" t="str">
        <x:v>開発担当／Datalake運用チーム</x:v>
      </x:c>
      <x:c r="E107" s="66" t="str">
        <x:v>GoldLayer</x:v>
      </x:c>
      <x:c r="F107" s="144" t="str">
        <x:v>2.中</x:v>
      </x:c>
      <x:c r="G107" s="86" t="str">
        <x:v>00.未確認</x:v>
      </x:c>
      <x:c r="H107" s="151" t="str">
        <x:v>共通</x:v>
      </x:c>
      <x:c r="I107" s="66" t="str">
        <x:v>共通</x:v>
      </x:c>
      <x:c r="J107" s="158" t="str">
        <x:v>00100</x:v>
      </x:c>
      <x:c r="K107" s="158" t="str"/>
      <x:c r="L107" s="158" t="str"/>
      <x:c r="M107" s="144" t="n">
        <x:v>1</x:v>
      </x:c>
      <x:c r="N107" s="144" t="n">
        <x:v>1</x:v>
      </x:c>
      <x:c r="O107" s="164" t="n">
        <x:f>IF(OR('設定'!$B$4="",N107=0),"",MAX(WORKDAY.INTL('設定'!$B$4-1,M107,'設定'!$B$6,'設定'!$J$4:$J$53),IF(J107="",0,IF(COUNTIF($A$7:$A$106,J107)=1,IFERROR(IF(INDEX($P$7:$P$106,MATCH(J107,$A$7:$A$106,0),1)=0,0,WORKDAY.INTL(INDEX($P$7:$P$106,MATCH(J107,$A$7:$A$106,0),1),1,'設定'!$B$6,'設定'!$J$4:$J$53)),0),0)),IF(K107="",0,IF(COUNTIF($A$7:$A$106,K107)=1,IFERROR(IF(INDEX($P$7:$P$106,MATCH(K107,$A$7:$A$106,0),1)=0,0,WORKDAY.INTL(INDEX($P$7:$P$106,MATCH(K107,$A$7:$A$106,0),1),1,'設定'!$B$6,'設定'!$J$4:$J$53)),0),0)),IF(L107="",0,IF(COUNTIF($A$7:$A$106,L107)=1,IFERROR(IF(INDEX($P$7:$P$106,MATCH(L107,$A$7:$A$106,0),1)=0,0,WORKDAY.INTL(INDEX($P$7:$P$106,MATCH(L107,$A$7:$A$106,0),1),1,'設定'!$B$6,'設定'!$J$4:$J$53)),0),0))))</x:f>
        <x:v>46461</x:v>
      </x:c>
      <x:c r="P107" s="164" t="n">
        <x:f>IF(O107="","",WORKDAY.INTL(O107,N107-1,'設定'!$B$6,'設定'!$J$4:$J$53))</x:f>
        <x:v>46461</x:v>
      </x:c>
      <x:c r="Q107" s="170"/>
      <x:c r="R107" s="170"/>
      <x:c r="S107" s="144" t="n">
        <x:v>1</x:v>
      </x:c>
      <x:c r="T107" s="144" t="n">
        <x:v>0</x:v>
      </x:c>
      <x:c r="U107" s="176" t="n">
        <x:f>IFERROR(T107/S107,0)</x:f>
        <x:v>0</x:v>
      </x:c>
      <x:c r="V107" s="92" t="str">
        <x:f>IF(U107&gt;=1,IF(R107="","完了（実績日未確認）",IF(P107="","完了",IF(R107&gt;P107,"完了（遅延）","完了"))),IF(G107="04.保留","保留",IF(O107="","未計画",IF('設定'!$B$5&gt;P107,IF(G107="00.未確認","要確認（期限超過）","遅延"),IF('設定'!$B$5&gt;=O107,IF(G107="00.未確認","状況要確認",IF(Q107="","開始要確認","予定内")),"予定前")))))</x:f>
        <x:v>予定前</x:v>
      </x:c>
      <x:c r="W107" s="66" t="str">
        <x:v>64</x:v>
      </x:c>
      <x:c r="X107" s="66" t="str">
        <x:v>補足（KT完了判定）</x:v>
      </x:c>
      <x:c r="Y107" s="66" t="str">
        <x:v>質疑一覧・未解決事項・引継ぎ完了記録</x:v>
      </x:c>
      <x:c r="Z107" s="66" t="str"/>
      <x:c r="AA107" s="182" t="str">
        <x:f>IF(AND(IF(J107="",TRUE,COUNTIF($A$7:$A$106,J107)=1),IF(K107="",TRUE,COUNTIF($A$7:$A$106,K107)=1),IF(L107="",TRUE,COUNTIF($A$7:$A$106,L107)=1),COUNTIF($A$7:$A$107,A107)=1,AND(M107&gt;=1,MOD(M107,1)=0,N107&gt;=0,MOD(N107,1)=0,S107&gt;0,T107&gt;=0,T107&lt;=S107),OR(R107="",AND(Q107&lt;&gt;"",R107&gt;=Q107)),IF(OR(G107="05.完了",G107="06.完了（資料記載）"),U107=1,TRUE),IF(N107=0,U107=1,TRUE)),"OK","要確認")</x:f>
        <x:v>OK</x:v>
      </x:c>
    </x:row>
  </x:sheetData>
  <x:mergeCells>
    <x:mergeCell ref="A1:AA1"/>
    <x:mergeCell ref="A2:AA2"/>
    <x:mergeCell ref="A3:AA3"/>
    <x:mergeCell ref="A4:AA4"/>
  </x:mergeCells>
  <x:conditionalFormatting sqref="U7:U107">
    <x:cfRule type="dataBar" priority="1">
      <x:dataBar>
        <x:cfvo type="min"/>
        <x:cfvo type="max"/>
        <x:color rgb="FF7AA66B"/>
      </x:dataBar>
      <x:extLst>
        <x:ext xmlns:x14="http://schemas.microsoft.com/office/spreadsheetml/2009/9/main" uri="{B025F937-C7B1-47D3-B67F-A62EFF666E3E}">
          <x14:id>{281D0680-2398-C8A3-C6BE-C6681ED8A0D1}</x14:id>
        </x:ext>
      </x:extLst>
    </x:cfRule>
  </x:conditionalFormatting>
  <x:conditionalFormatting sqref="AA7:AA107">
    <x:cfRule type="expression" dxfId="0" priority="2">
      <x:formula>AA7&lt;&gt;"OK"</x:formula>
    </x:cfRule>
  </x:conditionalFormatting>
  <x:conditionalFormatting sqref="V7:V107">
    <x:cfRule type="expression" dxfId="1" priority="3">
      <x:formula>OR(V7="遅延",V7="要確認（期限超過）")</x:formula>
    </x:cfRule>
  </x:conditionalFormatting>
  <x:dataValidations count="2">
    <x:dataValidation type="list" sqref="F7:F107">
      <x:formula1>"1.高,2.中,3.低"</x:formula1>
    </x:dataValidation>
    <x:dataValidation type="list" sqref="G7:G107">
      <x:formula1>"00.未確認,01.未着手,02.進行中,03.確認待ち,04.保留,05.完了,06.完了（資料記載）"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c19ac22739487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81D0680-2398-C8A3-C6BE-C6681ED8A0D1}">
            <x14:dataBar gradient="0">
              <x14:cfvo type="min"/>
              <x14:cfvo type="max"/>
              <x14:fillColor rgb="FF7AA66B"/>
            </x14:dataBar>
          </x14:cfRule>
          <xm:sqref>U7:U107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workbookViewId="0">
      <x:pane xSplit="3" ySplit="6" topLeftCell="D7" activePane="bottomRight" state="frozen"/>
    </x:sheetView>
  </x:sheetViews>
  <x:sheetFormatPr defaultRowHeight="15"/>
  <x:cols>
    <x:col min="1" max="1" width="10" hidden="0" customWidth="1"/>
    <x:col min="2" max="2" width="19" hidden="0" customWidth="1"/>
    <x:col min="3" max="3" width="46" hidden="0" customWidth="1"/>
    <x:col min="4" max="4" width="25" hidden="0" customWidth="1"/>
    <x:col min="5" max="5" width="14" hidden="0" customWidth="1"/>
    <x:col min="6" max="6" width="14" hidden="0" customWidth="1"/>
    <x:col min="7" max="7" width="10" hidden="0" customWidth="1"/>
    <x:col min="8" max="8" width="24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  <x:col min="21" max="21" width="6" hidden="0" customWidth="1"/>
    <x:col min="22" max="22" width="6" hidden="0" customWidth="1"/>
    <x:col min="23" max="23" width="6" hidden="0" customWidth="1"/>
    <x:col min="24" max="24" width="6" hidden="0" customWidth="1"/>
    <x:col min="25" max="25" width="6" hidden="0" customWidth="1"/>
    <x:col min="26" max="26" width="6" hidden="0" customWidth="1"/>
    <x:col min="27" max="27" width="6" hidden="0" customWidth="1"/>
    <x:col min="28" max="28" width="6" hidden="0" customWidth="1"/>
    <x:col min="29" max="29" width="6" hidden="0" customWidth="1"/>
    <x:col min="30" max="30" width="6" hidden="0" customWidth="1"/>
    <x:col min="31" max="31" width="6" hidden="0" customWidth="1"/>
    <x:col min="32" max="32" width="6" hidden="0" customWidth="1"/>
    <x:col min="33" max="33" width="6" hidden="0" customWidth="1"/>
    <x:col min="34" max="34" width="6" hidden="0" customWidth="1"/>
  </x:cols>
  <x:sheetData>
    <x:row r="1" ht="32" customHeight="1">
      <x:c r="A1" s="41" t="str">
        <x:v>週次ガント｜計画開始日・先行タスク・期間と連動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  <x:c r="AA1" s="41"/>
      <x:c r="AB1" s="41"/>
      <x:c r="AC1" s="41"/>
      <x:c r="AD1" s="41"/>
      <x:c r="AE1" s="41"/>
      <x:c r="AF1" s="41"/>
      <x:c r="AG1" s="41"/>
      <x:c r="AH1" s="41"/>
    </x:row>
    <x:row r="2" ht="28" customHeight="1">
      <x:c r="A2" s="49" t="str">
        <x:v>■＝予定期間に含まれる週（部分週も表示）。日付は暫定計画で、進捗の実績線ではありません。資料上完了・期間0の2件はバーを表示しません。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  <x:c r="AA2" s="49"/>
      <x:c r="AB2" s="49"/>
      <x:c r="AC2" s="49"/>
      <x:c r="AD2" s="49"/>
      <x:c r="AE2" s="49"/>
      <x:c r="AF2" s="49"/>
      <x:c r="AG2" s="49"/>
      <x:c r="AH2" s="49"/>
    </x:row>
    <x:row r="3" ht="22" customHeight="1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  <x:c r="AC3" s="30"/>
      <x:c r="AD3" s="30"/>
      <x:c r="AE3" s="30"/>
      <x:c r="AF3" s="30"/>
      <x:c r="AG3" s="30"/>
      <x:c r="AH3" s="30"/>
    </x:row>
    <x:row r="4" ht="22" customHeight="1">
      <x:c r="A4" s="212" t="str">
        <x:v>作業一覧／予定期間</x:v>
      </x:c>
      <x:c r="B4" s="212"/>
      <x:c r="C4" s="212"/>
      <x:c r="D4" s="212"/>
      <x:c r="E4" s="212"/>
      <x:c r="F4" s="212"/>
      <x:c r="G4" s="212"/>
      <x:c r="H4" s="212"/>
      <x:c r="I4" s="230" t="str">
        <x:v>週開始日（月曜）｜祝日・年末年始は「設定」の登録分のみ除外</x:v>
      </x:c>
      <x:c r="J4" s="230"/>
      <x:c r="K4" s="230"/>
      <x:c r="L4" s="230"/>
      <x:c r="M4" s="230"/>
      <x:c r="N4" s="230"/>
      <x:c r="O4" s="230"/>
      <x:c r="P4" s="230"/>
      <x:c r="Q4" s="230"/>
      <x:c r="R4" s="230"/>
      <x:c r="S4" s="230"/>
      <x:c r="T4" s="230"/>
      <x:c r="U4" s="230"/>
      <x:c r="V4" s="230"/>
      <x:c r="W4" s="230"/>
      <x:c r="X4" s="230"/>
      <x:c r="Y4" s="230"/>
      <x:c r="Z4" s="230"/>
      <x:c r="AA4" s="230"/>
      <x:c r="AB4" s="230"/>
      <x:c r="AC4" s="230"/>
      <x:c r="AD4" s="230"/>
      <x:c r="AE4" s="230"/>
      <x:c r="AF4" s="230"/>
      <x:c r="AG4" s="230"/>
      <x:c r="AH4" s="230"/>
    </x:row>
    <x:row r="5" ht="22" customHeight="1">
      <x:c r="A5" s="30"/>
      <x:c r="B5" s="30"/>
      <x:c r="C5" s="30"/>
      <x:c r="D5" s="30"/>
      <x:c r="E5" s="30"/>
      <x:c r="F5" s="30"/>
      <x:c r="G5" s="30"/>
      <x:c r="H5" s="30"/>
      <x:c r="I5" s="342" t="n">
        <x:f>'設定'!$B$4-WEEKDAY('設定'!$B$4,2)+1</x:f>
        <x:v>46314</x:v>
      </x:c>
      <x:c r="J5" s="342" t="n">
        <x:f>I5+7</x:f>
        <x:v>46321</x:v>
      </x:c>
      <x:c r="K5" s="342" t="n">
        <x:f>J5+7</x:f>
        <x:v>46328</x:v>
      </x:c>
      <x:c r="L5" s="342" t="n">
        <x:f>K5+7</x:f>
        <x:v>46335</x:v>
      </x:c>
      <x:c r="M5" s="342" t="n">
        <x:f>L5+7</x:f>
        <x:v>46342</x:v>
      </x:c>
      <x:c r="N5" s="342" t="n">
        <x:f>M5+7</x:f>
        <x:v>46349</x:v>
      </x:c>
      <x:c r="O5" s="342" t="n">
        <x:f>N5+7</x:f>
        <x:v>46356</x:v>
      </x:c>
      <x:c r="P5" s="342" t="n">
        <x:f>O5+7</x:f>
        <x:v>46363</x:v>
      </x:c>
      <x:c r="Q5" s="342" t="n">
        <x:f>P5+7</x:f>
        <x:v>46370</x:v>
      </x:c>
      <x:c r="R5" s="342" t="n">
        <x:f>Q5+7</x:f>
        <x:v>46377</x:v>
      </x:c>
      <x:c r="S5" s="342" t="n">
        <x:f>R5+7</x:f>
        <x:v>46384</x:v>
      </x:c>
      <x:c r="T5" s="342" t="n">
        <x:f>S5+7</x:f>
        <x:v>46391</x:v>
      </x:c>
      <x:c r="U5" s="342" t="n">
        <x:f>T5+7</x:f>
        <x:v>46398</x:v>
      </x:c>
      <x:c r="V5" s="342" t="n">
        <x:f>U5+7</x:f>
        <x:v>46405</x:v>
      </x:c>
      <x:c r="W5" s="342" t="n">
        <x:f>V5+7</x:f>
        <x:v>46412</x:v>
      </x:c>
      <x:c r="X5" s="342" t="n">
        <x:f>W5+7</x:f>
        <x:v>46419</x:v>
      </x:c>
      <x:c r="Y5" s="342" t="n">
        <x:f>X5+7</x:f>
        <x:v>46426</x:v>
      </x:c>
      <x:c r="Z5" s="342" t="n">
        <x:f>Y5+7</x:f>
        <x:v>46433</x:v>
      </x:c>
      <x:c r="AA5" s="342" t="n">
        <x:f>Z5+7</x:f>
        <x:v>46440</x:v>
      </x:c>
      <x:c r="AB5" s="342" t="n">
        <x:f>AA5+7</x:f>
        <x:v>46447</x:v>
      </x:c>
      <x:c r="AC5" s="342" t="n">
        <x:f>AB5+7</x:f>
        <x:v>46454</x:v>
      </x:c>
      <x:c r="AD5" s="342" t="n">
        <x:f>AC5+7</x:f>
        <x:v>46461</x:v>
      </x:c>
      <x:c r="AE5" s="342" t="n">
        <x:f>AD5+7</x:f>
        <x:v>46468</x:v>
      </x:c>
      <x:c r="AF5" s="342" t="n">
        <x:f>AE5+7</x:f>
        <x:v>46475</x:v>
      </x:c>
      <x:c r="AG5" s="342" t="n">
        <x:f>AF5+7</x:f>
        <x:v>46482</x:v>
      </x:c>
      <x:c r="AH5" s="342" t="n">
        <x:f>AG5+7</x:f>
        <x:v>46489</x:v>
      </x:c>
    </x:row>
    <x:row r="6" ht="29" customHeight="1">
      <x:c r="A6" s="53" t="str">
        <x:v>タスクID</x:v>
      </x:c>
      <x:c r="B6" s="53" t="str">
        <x:v>段階</x:v>
      </x:c>
      <x:c r="C6" s="53" t="str">
        <x:v>作業内容</x:v>
      </x:c>
      <x:c r="D6" s="53" t="str">
        <x:v>担当（仮）</x:v>
      </x:c>
      <x:c r="E6" s="53" t="str">
        <x:v>予定開始</x:v>
      </x:c>
      <x:c r="F6" s="53" t="str">
        <x:v>予定終了</x:v>
      </x:c>
      <x:c r="G6" s="53" t="str">
        <x:v>完成率</x:v>
      </x:c>
      <x:c r="H6" s="53" t="str">
        <x:v>進捗判定</x:v>
      </x:c>
      <x:c r="I6" s="53" t="str">
        <x:v>W01</x:v>
      </x:c>
      <x:c r="J6" s="53" t="str">
        <x:v>W02</x:v>
      </x:c>
      <x:c r="K6" s="53" t="str">
        <x:v>W03</x:v>
      </x:c>
      <x:c r="L6" s="53" t="str">
        <x:v>W04</x:v>
      </x:c>
      <x:c r="M6" s="53" t="str">
        <x:v>W05</x:v>
      </x:c>
      <x:c r="N6" s="53" t="str">
        <x:v>W06</x:v>
      </x:c>
      <x:c r="O6" s="53" t="str">
        <x:v>W07</x:v>
      </x:c>
      <x:c r="P6" s="53" t="str">
        <x:v>W08</x:v>
      </x:c>
      <x:c r="Q6" s="53" t="str">
        <x:v>W09</x:v>
      </x:c>
      <x:c r="R6" s="53" t="str">
        <x:v>W10</x:v>
      </x:c>
      <x:c r="S6" s="53" t="str">
        <x:v>W11</x:v>
      </x:c>
      <x:c r="T6" s="53" t="str">
        <x:v>W12</x:v>
      </x:c>
      <x:c r="U6" s="53" t="str">
        <x:v>W13</x:v>
      </x:c>
      <x:c r="V6" s="53" t="str">
        <x:v>W14</x:v>
      </x:c>
      <x:c r="W6" s="53" t="str">
        <x:v>W15</x:v>
      </x:c>
      <x:c r="X6" s="53" t="str">
        <x:v>W16</x:v>
      </x:c>
      <x:c r="Y6" s="53" t="str">
        <x:v>W17</x:v>
      </x:c>
      <x:c r="Z6" s="53" t="str">
        <x:v>W18</x:v>
      </x:c>
      <x:c r="AA6" s="53" t="str">
        <x:v>W19</x:v>
      </x:c>
      <x:c r="AB6" s="53" t="str">
        <x:v>W20</x:v>
      </x:c>
      <x:c r="AC6" s="53" t="str">
        <x:v>W21</x:v>
      </x:c>
      <x:c r="AD6" s="53" t="str">
        <x:v>W22</x:v>
      </x:c>
      <x:c r="AE6" s="53" t="str">
        <x:v>W23</x:v>
      </x:c>
      <x:c r="AF6" s="53" t="str">
        <x:v>W24</x:v>
      </x:c>
      <x:c r="AG6" s="53" t="str">
        <x:v>W25</x:v>
      </x:c>
      <x:c r="AH6" s="53" t="str">
        <x:v>W26</x:v>
      </x:c>
    </x:row>
    <x:row r="7" ht="38" customHeight="1">
      <x:c r="A7" s="464" t="str">
        <x:f>'作業計画'!A7</x:f>
        <x:v>00001</x:v>
      </x:c>
      <x:c r="B7" s="186" t="str">
        <x:f>'作業計画'!B7</x:f>
        <x:v>01.準備</x:v>
      </x:c>
      <x:c r="C7" s="59" t="str">
        <x:f>'作業計画'!C7</x:f>
        <x:v>進め方・役割分担・課題管理ルールの整理</x:v>
      </x:c>
      <x:c r="D7" s="59" t="str">
        <x:f>'作業計画'!D7</x:f>
        <x:v>PM（要確定）</x:v>
      </x:c>
      <x:c r="E7" s="344" t="n">
        <x:f>IF('作業計画'!O7="","",'作業計画'!O7)</x:f>
        <x:v>46314</x:v>
      </x:c>
      <x:c r="F7" s="344" t="n">
        <x:f>IF('作業計画'!P7="","",'作業計画'!P7)</x:f>
        <x:v>46315</x:v>
      </x:c>
      <x:c r="G7" s="352" t="n">
        <x:f>'作業計画'!U7</x:f>
        <x:v>0</x:v>
      </x:c>
      <x:c r="H7" s="59" t="str">
        <x:f>'作業計画'!V7</x:f>
        <x:v>予定前</x:v>
      </x:c>
      <x:c r="I7" s="368" t="str">
        <x:f>IF(AND($E7&lt;&gt;"",$E7&lt;=I$5+6,$F7&gt;=I$5),"■","")</x:f>
        <x:v>■</x:v>
      </x:c>
      <x:c r="J7" s="368" t="str">
        <x:f>IF(AND($E7&lt;&gt;"",$E7&lt;=J$5+6,$F7&gt;=J$5),"■","")</x:f>
      </x:c>
      <x:c r="K7" s="368" t="str">
        <x:f>IF(AND($E7&lt;&gt;"",$E7&lt;=K$5+6,$F7&gt;=K$5),"■","")</x:f>
      </x:c>
      <x:c r="L7" s="368" t="str">
        <x:f>IF(AND($E7&lt;&gt;"",$E7&lt;=L$5+6,$F7&gt;=L$5),"■","")</x:f>
      </x:c>
      <x:c r="M7" s="368" t="str">
        <x:f>IF(AND($E7&lt;&gt;"",$E7&lt;=M$5+6,$F7&gt;=M$5),"■","")</x:f>
      </x:c>
      <x:c r="N7" s="368" t="str">
        <x:f>IF(AND($E7&lt;&gt;"",$E7&lt;=N$5+6,$F7&gt;=N$5),"■","")</x:f>
      </x:c>
      <x:c r="O7" s="368" t="str">
        <x:f>IF(AND($E7&lt;&gt;"",$E7&lt;=O$5+6,$F7&gt;=O$5),"■","")</x:f>
      </x:c>
      <x:c r="P7" s="368" t="str">
        <x:f>IF(AND($E7&lt;&gt;"",$E7&lt;=P$5+6,$F7&gt;=P$5),"■","")</x:f>
      </x:c>
      <x:c r="Q7" s="368" t="str">
        <x:f>IF(AND($E7&lt;&gt;"",$E7&lt;=Q$5+6,$F7&gt;=Q$5),"■","")</x:f>
      </x:c>
      <x:c r="R7" s="368" t="str">
        <x:f>IF(AND($E7&lt;&gt;"",$E7&lt;=R$5+6,$F7&gt;=R$5),"■","")</x:f>
      </x:c>
      <x:c r="S7" s="368" t="str">
        <x:f>IF(AND($E7&lt;&gt;"",$E7&lt;=S$5+6,$F7&gt;=S$5),"■","")</x:f>
      </x:c>
      <x:c r="T7" s="368" t="str">
        <x:f>IF(AND($E7&lt;&gt;"",$E7&lt;=T$5+6,$F7&gt;=T$5),"■","")</x:f>
      </x:c>
      <x:c r="U7" s="368" t="str">
        <x:f>IF(AND($E7&lt;&gt;"",$E7&lt;=U$5+6,$F7&gt;=U$5),"■","")</x:f>
      </x:c>
      <x:c r="V7" s="368" t="str">
        <x:f>IF(AND($E7&lt;&gt;"",$E7&lt;=V$5+6,$F7&gt;=V$5),"■","")</x:f>
      </x:c>
      <x:c r="W7" s="368" t="str">
        <x:f>IF(AND($E7&lt;&gt;"",$E7&lt;=W$5+6,$F7&gt;=W$5),"■","")</x:f>
      </x:c>
      <x:c r="X7" s="368" t="str">
        <x:f>IF(AND($E7&lt;&gt;"",$E7&lt;=X$5+6,$F7&gt;=X$5),"■","")</x:f>
      </x:c>
      <x:c r="Y7" s="368" t="str">
        <x:f>IF(AND($E7&lt;&gt;"",$E7&lt;=Y$5+6,$F7&gt;=Y$5),"■","")</x:f>
      </x:c>
      <x:c r="Z7" s="368" t="str">
        <x:f>IF(AND($E7&lt;&gt;"",$E7&lt;=Z$5+6,$F7&gt;=Z$5),"■","")</x:f>
      </x:c>
      <x:c r="AA7" s="368" t="str">
        <x:f>IF(AND($E7&lt;&gt;"",$E7&lt;=AA$5+6,$F7&gt;=AA$5),"■","")</x:f>
      </x:c>
      <x:c r="AB7" s="368" t="str">
        <x:f>IF(AND($E7&lt;&gt;"",$E7&lt;=AB$5+6,$F7&gt;=AB$5),"■","")</x:f>
      </x:c>
      <x:c r="AC7" s="368" t="str">
        <x:f>IF(AND($E7&lt;&gt;"",$E7&lt;=AC$5+6,$F7&gt;=AC$5),"■","")</x:f>
      </x:c>
      <x:c r="AD7" s="368" t="str">
        <x:f>IF(AND($E7&lt;&gt;"",$E7&lt;=AD$5+6,$F7&gt;=AD$5),"■","")</x:f>
      </x:c>
      <x:c r="AE7" s="368" t="str">
        <x:f>IF(AND($E7&lt;&gt;"",$E7&lt;=AE$5+6,$F7&gt;=AE$5),"■","")</x:f>
      </x:c>
      <x:c r="AF7" s="368" t="str">
        <x:f>IF(AND($E7&lt;&gt;"",$E7&lt;=AF$5+6,$F7&gt;=AF$5),"■","")</x:f>
      </x:c>
      <x:c r="AG7" s="368" t="str">
        <x:f>IF(AND($E7&lt;&gt;"",$E7&lt;=AG$5+6,$F7&gt;=AG$5),"■","")</x:f>
      </x:c>
      <x:c r="AH7" s="369" t="str">
        <x:f>IF(AND($E7&lt;&gt;"",$E7&lt;=AH$5+6,$F7&gt;=AH$5),"■","")</x:f>
      </x:c>
    </x:row>
    <x:row r="8" ht="38" customHeight="1">
      <x:c r="A8" s="465" t="str">
        <x:f>'作業計画'!A8</x:f>
        <x:v>00002</x:v>
      </x:c>
      <x:c r="B8" s="188" t="str">
        <x:f>'作業計画'!B8</x:f>
        <x:v>01.準備</x:v>
      </x:c>
      <x:c r="C8" s="48" t="str">
        <x:f>'作業計画'!C8</x:f>
        <x:v>対象5テーブルと開発スコープの確定</x:v>
      </x:c>
      <x:c r="D8" s="48" t="str">
        <x:f>'作業計画'!D8</x:f>
        <x:v>PM／業務担当（要確定）</x:v>
      </x:c>
      <x:c r="E8" s="345" t="n">
        <x:f>IF('作業計画'!O8="","",'作業計画'!O8)</x:f>
        <x:v>46316</x:v>
      </x:c>
      <x:c r="F8" s="345" t="n">
        <x:f>IF('作業計画'!P8="","",'作業計画'!P8)</x:f>
        <x:v>46317</x:v>
      </x:c>
      <x:c r="G8" s="353" t="n">
        <x:f>'作業計画'!U8</x:f>
        <x:v>0</x:v>
      </x:c>
      <x:c r="H8" s="48" t="str">
        <x:f>'作業計画'!V8</x:f>
        <x:v>予定前</x:v>
      </x:c>
      <x:c r="I8" s="370" t="str">
        <x:f>IF(AND($E8&lt;&gt;"",$E8&lt;=I$5+6,$F8&gt;=I$5),"■","")</x:f>
        <x:v>■</x:v>
      </x:c>
      <x:c r="J8" s="370" t="str">
        <x:f>IF(AND($E8&lt;&gt;"",$E8&lt;=J$5+6,$F8&gt;=J$5),"■","")</x:f>
      </x:c>
      <x:c r="K8" s="370" t="str">
        <x:f>IF(AND($E8&lt;&gt;"",$E8&lt;=K$5+6,$F8&gt;=K$5),"■","")</x:f>
      </x:c>
      <x:c r="L8" s="370" t="str">
        <x:f>IF(AND($E8&lt;&gt;"",$E8&lt;=L$5+6,$F8&gt;=L$5),"■","")</x:f>
      </x:c>
      <x:c r="M8" s="370" t="str">
        <x:f>IF(AND($E8&lt;&gt;"",$E8&lt;=M$5+6,$F8&gt;=M$5),"■","")</x:f>
      </x:c>
      <x:c r="N8" s="370" t="str">
        <x:f>IF(AND($E8&lt;&gt;"",$E8&lt;=N$5+6,$F8&gt;=N$5),"■","")</x:f>
      </x:c>
      <x:c r="O8" s="370" t="str">
        <x:f>IF(AND($E8&lt;&gt;"",$E8&lt;=O$5+6,$F8&gt;=O$5),"■","")</x:f>
      </x:c>
      <x:c r="P8" s="370" t="str">
        <x:f>IF(AND($E8&lt;&gt;"",$E8&lt;=P$5+6,$F8&gt;=P$5),"■","")</x:f>
      </x:c>
      <x:c r="Q8" s="370" t="str">
        <x:f>IF(AND($E8&lt;&gt;"",$E8&lt;=Q$5+6,$F8&gt;=Q$5),"■","")</x:f>
      </x:c>
      <x:c r="R8" s="370" t="str">
        <x:f>IF(AND($E8&lt;&gt;"",$E8&lt;=R$5+6,$F8&gt;=R$5),"■","")</x:f>
      </x:c>
      <x:c r="S8" s="370" t="str">
        <x:f>IF(AND($E8&lt;&gt;"",$E8&lt;=S$5+6,$F8&gt;=S$5),"■","")</x:f>
      </x:c>
      <x:c r="T8" s="370" t="str">
        <x:f>IF(AND($E8&lt;&gt;"",$E8&lt;=T$5+6,$F8&gt;=T$5),"■","")</x:f>
      </x:c>
      <x:c r="U8" s="370" t="str">
        <x:f>IF(AND($E8&lt;&gt;"",$E8&lt;=U$5+6,$F8&gt;=U$5),"■","")</x:f>
      </x:c>
      <x:c r="V8" s="370" t="str">
        <x:f>IF(AND($E8&lt;&gt;"",$E8&lt;=V$5+6,$F8&gt;=V$5),"■","")</x:f>
      </x:c>
      <x:c r="W8" s="370" t="str">
        <x:f>IF(AND($E8&lt;&gt;"",$E8&lt;=W$5+6,$F8&gt;=W$5),"■","")</x:f>
      </x:c>
      <x:c r="X8" s="370" t="str">
        <x:f>IF(AND($E8&lt;&gt;"",$E8&lt;=X$5+6,$F8&gt;=X$5),"■","")</x:f>
      </x:c>
      <x:c r="Y8" s="370" t="str">
        <x:f>IF(AND($E8&lt;&gt;"",$E8&lt;=Y$5+6,$F8&gt;=Y$5),"■","")</x:f>
      </x:c>
      <x:c r="Z8" s="370" t="str">
        <x:f>IF(AND($E8&lt;&gt;"",$E8&lt;=Z$5+6,$F8&gt;=Z$5),"■","")</x:f>
      </x:c>
      <x:c r="AA8" s="370" t="str">
        <x:f>IF(AND($E8&lt;&gt;"",$E8&lt;=AA$5+6,$F8&gt;=AA$5),"■","")</x:f>
      </x:c>
      <x:c r="AB8" s="370" t="str">
        <x:f>IF(AND($E8&lt;&gt;"",$E8&lt;=AB$5+6,$F8&gt;=AB$5),"■","")</x:f>
      </x:c>
      <x:c r="AC8" s="370" t="str">
        <x:f>IF(AND($E8&lt;&gt;"",$E8&lt;=AC$5+6,$F8&gt;=AC$5),"■","")</x:f>
      </x:c>
      <x:c r="AD8" s="370" t="str">
        <x:f>IF(AND($E8&lt;&gt;"",$E8&lt;=AD$5+6,$F8&gt;=AD$5),"■","")</x:f>
      </x:c>
      <x:c r="AE8" s="370" t="str">
        <x:f>IF(AND($E8&lt;&gt;"",$E8&lt;=AE$5+6,$F8&gt;=AE$5),"■","")</x:f>
      </x:c>
      <x:c r="AF8" s="370" t="str">
        <x:f>IF(AND($E8&lt;&gt;"",$E8&lt;=AF$5+6,$F8&gt;=AF$5),"■","")</x:f>
      </x:c>
      <x:c r="AG8" s="370" t="str">
        <x:f>IF(AND($E8&lt;&gt;"",$E8&lt;=AG$5+6,$F8&gt;=AG$5),"■","")</x:f>
      </x:c>
      <x:c r="AH8" s="371" t="str">
        <x:f>IF(AND($E8&lt;&gt;"",$E8&lt;=AH$5+6,$F8&gt;=AH$5),"■","")</x:f>
      </x:c>
    </x:row>
    <x:row r="9" ht="38" customHeight="1">
      <x:c r="A9" s="466" t="str">
        <x:f>'作業計画'!A9</x:f>
        <x:v>00003</x:v>
      </x:c>
      <x:c r="B9" s="188" t="str">
        <x:f>'作業計画'!B9</x:f>
        <x:v>01.準備</x:v>
      </x:c>
      <x:c r="C9" s="56" t="str">
        <x:f>'作業計画'!C9</x:f>
        <x:v>目的・前提条件・完了条件の共有</x:v>
      </x:c>
      <x:c r="D9" s="56" t="str">
        <x:f>'作業計画'!D9</x:f>
        <x:v>PM（要確定）</x:v>
      </x:c>
      <x:c r="E9" s="346" t="n">
        <x:f>IF('作業計画'!O9="","",'作業計画'!O9)</x:f>
        <x:v>46318</x:v>
      </x:c>
      <x:c r="F9" s="346" t="n">
        <x:f>IF('作業計画'!P9="","",'作業計画'!P9)</x:f>
        <x:v>46318</x:v>
      </x:c>
      <x:c r="G9" s="354" t="n">
        <x:f>'作業計画'!U9</x:f>
        <x:v>0</x:v>
      </x:c>
      <x:c r="H9" s="56" t="str">
        <x:f>'作業計画'!V9</x:f>
        <x:v>予定前</x:v>
      </x:c>
      <x:c r="I9" s="372" t="str">
        <x:f>IF(AND($E9&lt;&gt;"",$E9&lt;=I$5+6,$F9&gt;=I$5),"■","")</x:f>
        <x:v>■</x:v>
      </x:c>
      <x:c r="J9" s="372" t="str">
        <x:f>IF(AND($E9&lt;&gt;"",$E9&lt;=J$5+6,$F9&gt;=J$5),"■","")</x:f>
      </x:c>
      <x:c r="K9" s="372" t="str">
        <x:f>IF(AND($E9&lt;&gt;"",$E9&lt;=K$5+6,$F9&gt;=K$5),"■","")</x:f>
      </x:c>
      <x:c r="L9" s="372" t="str">
        <x:f>IF(AND($E9&lt;&gt;"",$E9&lt;=L$5+6,$F9&gt;=L$5),"■","")</x:f>
      </x:c>
      <x:c r="M9" s="372" t="str">
        <x:f>IF(AND($E9&lt;&gt;"",$E9&lt;=M$5+6,$F9&gt;=M$5),"■","")</x:f>
      </x:c>
      <x:c r="N9" s="372" t="str">
        <x:f>IF(AND($E9&lt;&gt;"",$E9&lt;=N$5+6,$F9&gt;=N$5),"■","")</x:f>
      </x:c>
      <x:c r="O9" s="372" t="str">
        <x:f>IF(AND($E9&lt;&gt;"",$E9&lt;=O$5+6,$F9&gt;=O$5),"■","")</x:f>
      </x:c>
      <x:c r="P9" s="372" t="str">
        <x:f>IF(AND($E9&lt;&gt;"",$E9&lt;=P$5+6,$F9&gt;=P$5),"■","")</x:f>
      </x:c>
      <x:c r="Q9" s="372" t="str">
        <x:f>IF(AND($E9&lt;&gt;"",$E9&lt;=Q$5+6,$F9&gt;=Q$5),"■","")</x:f>
      </x:c>
      <x:c r="R9" s="372" t="str">
        <x:f>IF(AND($E9&lt;&gt;"",$E9&lt;=R$5+6,$F9&gt;=R$5),"■","")</x:f>
      </x:c>
      <x:c r="S9" s="372" t="str">
        <x:f>IF(AND($E9&lt;&gt;"",$E9&lt;=S$5+6,$F9&gt;=S$5),"■","")</x:f>
      </x:c>
      <x:c r="T9" s="372" t="str">
        <x:f>IF(AND($E9&lt;&gt;"",$E9&lt;=T$5+6,$F9&gt;=T$5),"■","")</x:f>
      </x:c>
      <x:c r="U9" s="372" t="str">
        <x:f>IF(AND($E9&lt;&gt;"",$E9&lt;=U$5+6,$F9&gt;=U$5),"■","")</x:f>
      </x:c>
      <x:c r="V9" s="372" t="str">
        <x:f>IF(AND($E9&lt;&gt;"",$E9&lt;=V$5+6,$F9&gt;=V$5),"■","")</x:f>
      </x:c>
      <x:c r="W9" s="372" t="str">
        <x:f>IF(AND($E9&lt;&gt;"",$E9&lt;=W$5+6,$F9&gt;=W$5),"■","")</x:f>
      </x:c>
      <x:c r="X9" s="372" t="str">
        <x:f>IF(AND($E9&lt;&gt;"",$E9&lt;=X$5+6,$F9&gt;=X$5),"■","")</x:f>
      </x:c>
      <x:c r="Y9" s="372" t="str">
        <x:f>IF(AND($E9&lt;&gt;"",$E9&lt;=Y$5+6,$F9&gt;=Y$5),"■","")</x:f>
      </x:c>
      <x:c r="Z9" s="372" t="str">
        <x:f>IF(AND($E9&lt;&gt;"",$E9&lt;=Z$5+6,$F9&gt;=Z$5),"■","")</x:f>
      </x:c>
      <x:c r="AA9" s="372" t="str">
        <x:f>IF(AND($E9&lt;&gt;"",$E9&lt;=AA$5+6,$F9&gt;=AA$5),"■","")</x:f>
      </x:c>
      <x:c r="AB9" s="372" t="str">
        <x:f>IF(AND($E9&lt;&gt;"",$E9&lt;=AB$5+6,$F9&gt;=AB$5),"■","")</x:f>
      </x:c>
      <x:c r="AC9" s="372" t="str">
        <x:f>IF(AND($E9&lt;&gt;"",$E9&lt;=AC$5+6,$F9&gt;=AC$5),"■","")</x:f>
      </x:c>
      <x:c r="AD9" s="372" t="str">
        <x:f>IF(AND($E9&lt;&gt;"",$E9&lt;=AD$5+6,$F9&gt;=AD$5),"■","")</x:f>
      </x:c>
      <x:c r="AE9" s="372" t="str">
        <x:f>IF(AND($E9&lt;&gt;"",$E9&lt;=AE$5+6,$F9&gt;=AE$5),"■","")</x:f>
      </x:c>
      <x:c r="AF9" s="372" t="str">
        <x:f>IF(AND($E9&lt;&gt;"",$E9&lt;=AF$5+6,$F9&gt;=AF$5),"■","")</x:f>
      </x:c>
      <x:c r="AG9" s="372" t="str">
        <x:f>IF(AND($E9&lt;&gt;"",$E9&lt;=AG$5+6,$F9&gt;=AG$5),"■","")</x:f>
      </x:c>
      <x:c r="AH9" s="373" t="str">
        <x:f>IF(AND($E9&lt;&gt;"",$E9&lt;=AH$5+6,$F9&gt;=AH$5),"■","")</x:f>
      </x:c>
    </x:row>
    <x:row r="10" ht="38" customHeight="1">
      <x:c r="A10" s="465" t="str">
        <x:f>'作業計画'!A10</x:f>
        <x:v>00004</x:v>
      </x:c>
      <x:c r="B10" s="188" t="str">
        <x:f>'作業計画'!B10</x:f>
        <x:v>01.準備</x:v>
      </x:c>
      <x:c r="C10" s="48" t="str">
        <x:f>'作業計画'!C10</x:f>
        <x:v>現行アーキテクチャ確認（資料上完了）</x:v>
      </x:c>
      <x:c r="D10" s="48" t="str">
        <x:f>'作業計画'!D10</x:f>
        <x:v>確認担当（要確定）</x:v>
      </x:c>
      <x:c r="E10" s="345" t="str">
        <x:f>IF('作業計画'!O10="","",'作業計画'!O10)</x:f>
      </x:c>
      <x:c r="F10" s="345" t="str">
        <x:f>IF('作業計画'!P10="","",'作業計画'!P10)</x:f>
      </x:c>
      <x:c r="G10" s="353" t="n">
        <x:f>'作業計画'!U10</x:f>
        <x:v>1</x:v>
      </x:c>
      <x:c r="H10" s="48" t="str">
        <x:f>'作業計画'!V10</x:f>
        <x:v>完了（実績日未確認）</x:v>
      </x:c>
      <x:c r="I10" s="370" t="str">
        <x:f>IF(AND($E10&lt;&gt;"",$E10&lt;=I$5+6,$F10&gt;=I$5),"■","")</x:f>
      </x:c>
      <x:c r="J10" s="370" t="str">
        <x:f>IF(AND($E10&lt;&gt;"",$E10&lt;=J$5+6,$F10&gt;=J$5),"■","")</x:f>
      </x:c>
      <x:c r="K10" s="370" t="str">
        <x:f>IF(AND($E10&lt;&gt;"",$E10&lt;=K$5+6,$F10&gt;=K$5),"■","")</x:f>
      </x:c>
      <x:c r="L10" s="370" t="str">
        <x:f>IF(AND($E10&lt;&gt;"",$E10&lt;=L$5+6,$F10&gt;=L$5),"■","")</x:f>
      </x:c>
      <x:c r="M10" s="370" t="str">
        <x:f>IF(AND($E10&lt;&gt;"",$E10&lt;=M$5+6,$F10&gt;=M$5),"■","")</x:f>
      </x:c>
      <x:c r="N10" s="370" t="str">
        <x:f>IF(AND($E10&lt;&gt;"",$E10&lt;=N$5+6,$F10&gt;=N$5),"■","")</x:f>
      </x:c>
      <x:c r="O10" s="370" t="str">
        <x:f>IF(AND($E10&lt;&gt;"",$E10&lt;=O$5+6,$F10&gt;=O$5),"■","")</x:f>
      </x:c>
      <x:c r="P10" s="370" t="str">
        <x:f>IF(AND($E10&lt;&gt;"",$E10&lt;=P$5+6,$F10&gt;=P$5),"■","")</x:f>
      </x:c>
      <x:c r="Q10" s="370" t="str">
        <x:f>IF(AND($E10&lt;&gt;"",$E10&lt;=Q$5+6,$F10&gt;=Q$5),"■","")</x:f>
      </x:c>
      <x:c r="R10" s="370" t="str">
        <x:f>IF(AND($E10&lt;&gt;"",$E10&lt;=R$5+6,$F10&gt;=R$5),"■","")</x:f>
      </x:c>
      <x:c r="S10" s="370" t="str">
        <x:f>IF(AND($E10&lt;&gt;"",$E10&lt;=S$5+6,$F10&gt;=S$5),"■","")</x:f>
      </x:c>
      <x:c r="T10" s="370" t="str">
        <x:f>IF(AND($E10&lt;&gt;"",$E10&lt;=T$5+6,$F10&gt;=T$5),"■","")</x:f>
      </x:c>
      <x:c r="U10" s="370" t="str">
        <x:f>IF(AND($E10&lt;&gt;"",$E10&lt;=U$5+6,$F10&gt;=U$5),"■","")</x:f>
      </x:c>
      <x:c r="V10" s="370" t="str">
        <x:f>IF(AND($E10&lt;&gt;"",$E10&lt;=V$5+6,$F10&gt;=V$5),"■","")</x:f>
      </x:c>
      <x:c r="W10" s="370" t="str">
        <x:f>IF(AND($E10&lt;&gt;"",$E10&lt;=W$5+6,$F10&gt;=W$5),"■","")</x:f>
      </x:c>
      <x:c r="X10" s="370" t="str">
        <x:f>IF(AND($E10&lt;&gt;"",$E10&lt;=X$5+6,$F10&gt;=X$5),"■","")</x:f>
      </x:c>
      <x:c r="Y10" s="370" t="str">
        <x:f>IF(AND($E10&lt;&gt;"",$E10&lt;=Y$5+6,$F10&gt;=Y$5),"■","")</x:f>
      </x:c>
      <x:c r="Z10" s="370" t="str">
        <x:f>IF(AND($E10&lt;&gt;"",$E10&lt;=Z$5+6,$F10&gt;=Z$5),"■","")</x:f>
      </x:c>
      <x:c r="AA10" s="370" t="str">
        <x:f>IF(AND($E10&lt;&gt;"",$E10&lt;=AA$5+6,$F10&gt;=AA$5),"■","")</x:f>
      </x:c>
      <x:c r="AB10" s="370" t="str">
        <x:f>IF(AND($E10&lt;&gt;"",$E10&lt;=AB$5+6,$F10&gt;=AB$5),"■","")</x:f>
      </x:c>
      <x:c r="AC10" s="370" t="str">
        <x:f>IF(AND($E10&lt;&gt;"",$E10&lt;=AC$5+6,$F10&gt;=AC$5),"■","")</x:f>
      </x:c>
      <x:c r="AD10" s="370" t="str">
        <x:f>IF(AND($E10&lt;&gt;"",$E10&lt;=AD$5+6,$F10&gt;=AD$5),"■","")</x:f>
      </x:c>
      <x:c r="AE10" s="370" t="str">
        <x:f>IF(AND($E10&lt;&gt;"",$E10&lt;=AE$5+6,$F10&gt;=AE$5),"■","")</x:f>
      </x:c>
      <x:c r="AF10" s="370" t="str">
        <x:f>IF(AND($E10&lt;&gt;"",$E10&lt;=AF$5+6,$F10&gt;=AF$5),"■","")</x:f>
      </x:c>
      <x:c r="AG10" s="370" t="str">
        <x:f>IF(AND($E10&lt;&gt;"",$E10&lt;=AG$5+6,$F10&gt;=AG$5),"■","")</x:f>
      </x:c>
      <x:c r="AH10" s="371" t="str">
        <x:f>IF(AND($E10&lt;&gt;"",$E10&lt;=AH$5+6,$F10&gt;=AH$5),"■","")</x:f>
      </x:c>
    </x:row>
    <x:row r="11" ht="38" customHeight="1">
      <x:c r="A11" s="466" t="str">
        <x:f>'作業計画'!A11</x:f>
        <x:v>00005</x:v>
      </x:c>
      <x:c r="B11" s="188" t="str">
        <x:f>'作業計画'!B11</x:f>
        <x:v>01.準備</x:v>
      </x:c>
      <x:c r="C11" s="56" t="str">
        <x:f>'作業計画'!C11</x:f>
        <x:v>Dataiku既存処理確認（資料上完了）</x:v>
      </x:c>
      <x:c r="D11" s="56" t="str">
        <x:f>'作業計画'!D11</x:f>
        <x:v>確認担当（要確定）</x:v>
      </x:c>
      <x:c r="E11" s="346" t="str">
        <x:f>IF('作業計画'!O11="","",'作業計画'!O11)</x:f>
      </x:c>
      <x:c r="F11" s="346" t="str">
        <x:f>IF('作業計画'!P11="","",'作業計画'!P11)</x:f>
      </x:c>
      <x:c r="G11" s="354" t="n">
        <x:f>'作業計画'!U11</x:f>
        <x:v>1</x:v>
      </x:c>
      <x:c r="H11" s="56" t="str">
        <x:f>'作業計画'!V11</x:f>
        <x:v>完了（実績日未確認）</x:v>
      </x:c>
      <x:c r="I11" s="372" t="str">
        <x:f>IF(AND($E11&lt;&gt;"",$E11&lt;=I$5+6,$F11&gt;=I$5),"■","")</x:f>
      </x:c>
      <x:c r="J11" s="372" t="str">
        <x:f>IF(AND($E11&lt;&gt;"",$E11&lt;=J$5+6,$F11&gt;=J$5),"■","")</x:f>
      </x:c>
      <x:c r="K11" s="372" t="str">
        <x:f>IF(AND($E11&lt;&gt;"",$E11&lt;=K$5+6,$F11&gt;=K$5),"■","")</x:f>
      </x:c>
      <x:c r="L11" s="372" t="str">
        <x:f>IF(AND($E11&lt;&gt;"",$E11&lt;=L$5+6,$F11&gt;=L$5),"■","")</x:f>
      </x:c>
      <x:c r="M11" s="372" t="str">
        <x:f>IF(AND($E11&lt;&gt;"",$E11&lt;=M$5+6,$F11&gt;=M$5),"■","")</x:f>
      </x:c>
      <x:c r="N11" s="372" t="str">
        <x:f>IF(AND($E11&lt;&gt;"",$E11&lt;=N$5+6,$F11&gt;=N$5),"■","")</x:f>
      </x:c>
      <x:c r="O11" s="372" t="str">
        <x:f>IF(AND($E11&lt;&gt;"",$E11&lt;=O$5+6,$F11&gt;=O$5),"■","")</x:f>
      </x:c>
      <x:c r="P11" s="372" t="str">
        <x:f>IF(AND($E11&lt;&gt;"",$E11&lt;=P$5+6,$F11&gt;=P$5),"■","")</x:f>
      </x:c>
      <x:c r="Q11" s="372" t="str">
        <x:f>IF(AND($E11&lt;&gt;"",$E11&lt;=Q$5+6,$F11&gt;=Q$5),"■","")</x:f>
      </x:c>
      <x:c r="R11" s="372" t="str">
        <x:f>IF(AND($E11&lt;&gt;"",$E11&lt;=R$5+6,$F11&gt;=R$5),"■","")</x:f>
      </x:c>
      <x:c r="S11" s="372" t="str">
        <x:f>IF(AND($E11&lt;&gt;"",$E11&lt;=S$5+6,$F11&gt;=S$5),"■","")</x:f>
      </x:c>
      <x:c r="T11" s="372" t="str">
        <x:f>IF(AND($E11&lt;&gt;"",$E11&lt;=T$5+6,$F11&gt;=T$5),"■","")</x:f>
      </x:c>
      <x:c r="U11" s="372" t="str">
        <x:f>IF(AND($E11&lt;&gt;"",$E11&lt;=U$5+6,$F11&gt;=U$5),"■","")</x:f>
      </x:c>
      <x:c r="V11" s="372" t="str">
        <x:f>IF(AND($E11&lt;&gt;"",$E11&lt;=V$5+6,$F11&gt;=V$5),"■","")</x:f>
      </x:c>
      <x:c r="W11" s="372" t="str">
        <x:f>IF(AND($E11&lt;&gt;"",$E11&lt;=W$5+6,$F11&gt;=W$5),"■","")</x:f>
      </x:c>
      <x:c r="X11" s="372" t="str">
        <x:f>IF(AND($E11&lt;&gt;"",$E11&lt;=X$5+6,$F11&gt;=X$5),"■","")</x:f>
      </x:c>
      <x:c r="Y11" s="372" t="str">
        <x:f>IF(AND($E11&lt;&gt;"",$E11&lt;=Y$5+6,$F11&gt;=Y$5),"■","")</x:f>
      </x:c>
      <x:c r="Z11" s="372" t="str">
        <x:f>IF(AND($E11&lt;&gt;"",$E11&lt;=Z$5+6,$F11&gt;=Z$5),"■","")</x:f>
      </x:c>
      <x:c r="AA11" s="372" t="str">
        <x:f>IF(AND($E11&lt;&gt;"",$E11&lt;=AA$5+6,$F11&gt;=AA$5),"■","")</x:f>
      </x:c>
      <x:c r="AB11" s="372" t="str">
        <x:f>IF(AND($E11&lt;&gt;"",$E11&lt;=AB$5+6,$F11&gt;=AB$5),"■","")</x:f>
      </x:c>
      <x:c r="AC11" s="372" t="str">
        <x:f>IF(AND($E11&lt;&gt;"",$E11&lt;=AC$5+6,$F11&gt;=AC$5),"■","")</x:f>
      </x:c>
      <x:c r="AD11" s="372" t="str">
        <x:f>IF(AND($E11&lt;&gt;"",$E11&lt;=AD$5+6,$F11&gt;=AD$5),"■","")</x:f>
      </x:c>
      <x:c r="AE11" s="372" t="str">
        <x:f>IF(AND($E11&lt;&gt;"",$E11&lt;=AE$5+6,$F11&gt;=AE$5),"■","")</x:f>
      </x:c>
      <x:c r="AF11" s="372" t="str">
        <x:f>IF(AND($E11&lt;&gt;"",$E11&lt;=AF$5+6,$F11&gt;=AF$5),"■","")</x:f>
      </x:c>
      <x:c r="AG11" s="372" t="str">
        <x:f>IF(AND($E11&lt;&gt;"",$E11&lt;=AG$5+6,$F11&gt;=AG$5),"■","")</x:f>
      </x:c>
      <x:c r="AH11" s="373" t="str">
        <x:f>IF(AND($E11&lt;&gt;"",$E11&lt;=AH$5+6,$F11&gt;=AH$5),"■","")</x:f>
      </x:c>
    </x:row>
    <x:row r="12" ht="38" customHeight="1">
      <x:c r="A12" s="465" t="str">
        <x:f>'作業計画'!A12</x:f>
        <x:v>00006</x:v>
      </x:c>
      <x:c r="B12" s="188" t="str">
        <x:f>'作業計画'!B12</x:f>
        <x:v>01.準備</x:v>
      </x:c>
      <x:c r="C12" s="48" t="str">
        <x:f>'作業計画'!C12</x:f>
        <x:v>更新頻度・更新時刻・SLAの確認</x:v>
      </x:c>
      <x:c r="D12" s="48" t="str">
        <x:f>'作業計画'!D12</x:f>
        <x:v>PM／業務担当（要確定）</x:v>
      </x:c>
      <x:c r="E12" s="345" t="n">
        <x:f>IF('作業計画'!O12="","",'作業計画'!O12)</x:f>
        <x:v>46321</x:v>
      </x:c>
      <x:c r="F12" s="345" t="n">
        <x:f>IF('作業計画'!P12="","",'作業計画'!P12)</x:f>
        <x:v>46322</x:v>
      </x:c>
      <x:c r="G12" s="353" t="n">
        <x:f>'作業計画'!U12</x:f>
        <x:v>0</x:v>
      </x:c>
      <x:c r="H12" s="48" t="str">
        <x:f>'作業計画'!V12</x:f>
        <x:v>予定前</x:v>
      </x:c>
      <x:c r="I12" s="370" t="str">
        <x:f>IF(AND($E12&lt;&gt;"",$E12&lt;=I$5+6,$F12&gt;=I$5),"■","")</x:f>
      </x:c>
      <x:c r="J12" s="370" t="str">
        <x:f>IF(AND($E12&lt;&gt;"",$E12&lt;=J$5+6,$F12&gt;=J$5),"■","")</x:f>
        <x:v>■</x:v>
      </x:c>
      <x:c r="K12" s="370" t="str">
        <x:f>IF(AND($E12&lt;&gt;"",$E12&lt;=K$5+6,$F12&gt;=K$5),"■","")</x:f>
      </x:c>
      <x:c r="L12" s="370" t="str">
        <x:f>IF(AND($E12&lt;&gt;"",$E12&lt;=L$5+6,$F12&gt;=L$5),"■","")</x:f>
      </x:c>
      <x:c r="M12" s="370" t="str">
        <x:f>IF(AND($E12&lt;&gt;"",$E12&lt;=M$5+6,$F12&gt;=M$5),"■","")</x:f>
      </x:c>
      <x:c r="N12" s="370" t="str">
        <x:f>IF(AND($E12&lt;&gt;"",$E12&lt;=N$5+6,$F12&gt;=N$5),"■","")</x:f>
      </x:c>
      <x:c r="O12" s="370" t="str">
        <x:f>IF(AND($E12&lt;&gt;"",$E12&lt;=O$5+6,$F12&gt;=O$5),"■","")</x:f>
      </x:c>
      <x:c r="P12" s="370" t="str">
        <x:f>IF(AND($E12&lt;&gt;"",$E12&lt;=P$5+6,$F12&gt;=P$5),"■","")</x:f>
      </x:c>
      <x:c r="Q12" s="370" t="str">
        <x:f>IF(AND($E12&lt;&gt;"",$E12&lt;=Q$5+6,$F12&gt;=Q$5),"■","")</x:f>
      </x:c>
      <x:c r="R12" s="370" t="str">
        <x:f>IF(AND($E12&lt;&gt;"",$E12&lt;=R$5+6,$F12&gt;=R$5),"■","")</x:f>
      </x:c>
      <x:c r="S12" s="370" t="str">
        <x:f>IF(AND($E12&lt;&gt;"",$E12&lt;=S$5+6,$F12&gt;=S$5),"■","")</x:f>
      </x:c>
      <x:c r="T12" s="370" t="str">
        <x:f>IF(AND($E12&lt;&gt;"",$E12&lt;=T$5+6,$F12&gt;=T$5),"■","")</x:f>
      </x:c>
      <x:c r="U12" s="370" t="str">
        <x:f>IF(AND($E12&lt;&gt;"",$E12&lt;=U$5+6,$F12&gt;=U$5),"■","")</x:f>
      </x:c>
      <x:c r="V12" s="370" t="str">
        <x:f>IF(AND($E12&lt;&gt;"",$E12&lt;=V$5+6,$F12&gt;=V$5),"■","")</x:f>
      </x:c>
      <x:c r="W12" s="370" t="str">
        <x:f>IF(AND($E12&lt;&gt;"",$E12&lt;=W$5+6,$F12&gt;=W$5),"■","")</x:f>
      </x:c>
      <x:c r="X12" s="370" t="str">
        <x:f>IF(AND($E12&lt;&gt;"",$E12&lt;=X$5+6,$F12&gt;=X$5),"■","")</x:f>
      </x:c>
      <x:c r="Y12" s="370" t="str">
        <x:f>IF(AND($E12&lt;&gt;"",$E12&lt;=Y$5+6,$F12&gt;=Y$5),"■","")</x:f>
      </x:c>
      <x:c r="Z12" s="370" t="str">
        <x:f>IF(AND($E12&lt;&gt;"",$E12&lt;=Z$5+6,$F12&gt;=Z$5),"■","")</x:f>
      </x:c>
      <x:c r="AA12" s="370" t="str">
        <x:f>IF(AND($E12&lt;&gt;"",$E12&lt;=AA$5+6,$F12&gt;=AA$5),"■","")</x:f>
      </x:c>
      <x:c r="AB12" s="370" t="str">
        <x:f>IF(AND($E12&lt;&gt;"",$E12&lt;=AB$5+6,$F12&gt;=AB$5),"■","")</x:f>
      </x:c>
      <x:c r="AC12" s="370" t="str">
        <x:f>IF(AND($E12&lt;&gt;"",$E12&lt;=AC$5+6,$F12&gt;=AC$5),"■","")</x:f>
      </x:c>
      <x:c r="AD12" s="370" t="str">
        <x:f>IF(AND($E12&lt;&gt;"",$E12&lt;=AD$5+6,$F12&gt;=AD$5),"■","")</x:f>
      </x:c>
      <x:c r="AE12" s="370" t="str">
        <x:f>IF(AND($E12&lt;&gt;"",$E12&lt;=AE$5+6,$F12&gt;=AE$5),"■","")</x:f>
      </x:c>
      <x:c r="AF12" s="370" t="str">
        <x:f>IF(AND($E12&lt;&gt;"",$E12&lt;=AF$5+6,$F12&gt;=AF$5),"■","")</x:f>
      </x:c>
      <x:c r="AG12" s="370" t="str">
        <x:f>IF(AND($E12&lt;&gt;"",$E12&lt;=AG$5+6,$F12&gt;=AG$5),"■","")</x:f>
      </x:c>
      <x:c r="AH12" s="371" t="str">
        <x:f>IF(AND($E12&lt;&gt;"",$E12&lt;=AH$5+6,$F12&gt;=AH$5),"■","")</x:f>
      </x:c>
    </x:row>
    <x:row r="13" ht="38" customHeight="1">
      <x:c r="A13" s="466" t="str">
        <x:f>'作業計画'!A13</x:f>
        <x:v>00007</x:v>
      </x:c>
      <x:c r="B13" s="188" t="str">
        <x:f>'作業計画'!B13</x:f>
        <x:v>01.準備</x:v>
      </x:c>
      <x:c r="C13" s="56" t="str">
        <x:f>'作業計画'!C13</x:f>
        <x:v>例外処理・エラー通知先の整理</x:v>
      </x:c>
      <x:c r="D13" s="56" t="str">
        <x:f>'作業計画'!D13</x:f>
        <x:v>運用担当（要確定）</x:v>
      </x:c>
      <x:c r="E13" s="346" t="n">
        <x:f>IF('作業計画'!O13="","",'作業計画'!O13)</x:f>
        <x:v>46321</x:v>
      </x:c>
      <x:c r="F13" s="346" t="n">
        <x:f>IF('作業計画'!P13="","",'作業計画'!P13)</x:f>
        <x:v>46322</x:v>
      </x:c>
      <x:c r="G13" s="354" t="n">
        <x:f>'作業計画'!U13</x:f>
        <x:v>0</x:v>
      </x:c>
      <x:c r="H13" s="56" t="str">
        <x:f>'作業計画'!V13</x:f>
        <x:v>予定前</x:v>
      </x:c>
      <x:c r="I13" s="372" t="str">
        <x:f>IF(AND($E13&lt;&gt;"",$E13&lt;=I$5+6,$F13&gt;=I$5),"■","")</x:f>
      </x:c>
      <x:c r="J13" s="372" t="str">
        <x:f>IF(AND($E13&lt;&gt;"",$E13&lt;=J$5+6,$F13&gt;=J$5),"■","")</x:f>
        <x:v>■</x:v>
      </x:c>
      <x:c r="K13" s="372" t="str">
        <x:f>IF(AND($E13&lt;&gt;"",$E13&lt;=K$5+6,$F13&gt;=K$5),"■","")</x:f>
      </x:c>
      <x:c r="L13" s="372" t="str">
        <x:f>IF(AND($E13&lt;&gt;"",$E13&lt;=L$5+6,$F13&gt;=L$5),"■","")</x:f>
      </x:c>
      <x:c r="M13" s="372" t="str">
        <x:f>IF(AND($E13&lt;&gt;"",$E13&lt;=M$5+6,$F13&gt;=M$5),"■","")</x:f>
      </x:c>
      <x:c r="N13" s="372" t="str">
        <x:f>IF(AND($E13&lt;&gt;"",$E13&lt;=N$5+6,$F13&gt;=N$5),"■","")</x:f>
      </x:c>
      <x:c r="O13" s="372" t="str">
        <x:f>IF(AND($E13&lt;&gt;"",$E13&lt;=O$5+6,$F13&gt;=O$5),"■","")</x:f>
      </x:c>
      <x:c r="P13" s="372" t="str">
        <x:f>IF(AND($E13&lt;&gt;"",$E13&lt;=P$5+6,$F13&gt;=P$5),"■","")</x:f>
      </x:c>
      <x:c r="Q13" s="372" t="str">
        <x:f>IF(AND($E13&lt;&gt;"",$E13&lt;=Q$5+6,$F13&gt;=Q$5),"■","")</x:f>
      </x:c>
      <x:c r="R13" s="372" t="str">
        <x:f>IF(AND($E13&lt;&gt;"",$E13&lt;=R$5+6,$F13&gt;=R$5),"■","")</x:f>
      </x:c>
      <x:c r="S13" s="372" t="str">
        <x:f>IF(AND($E13&lt;&gt;"",$E13&lt;=S$5+6,$F13&gt;=S$5),"■","")</x:f>
      </x:c>
      <x:c r="T13" s="372" t="str">
        <x:f>IF(AND($E13&lt;&gt;"",$E13&lt;=T$5+6,$F13&gt;=T$5),"■","")</x:f>
      </x:c>
      <x:c r="U13" s="372" t="str">
        <x:f>IF(AND($E13&lt;&gt;"",$E13&lt;=U$5+6,$F13&gt;=U$5),"■","")</x:f>
      </x:c>
      <x:c r="V13" s="372" t="str">
        <x:f>IF(AND($E13&lt;&gt;"",$E13&lt;=V$5+6,$F13&gt;=V$5),"■","")</x:f>
      </x:c>
      <x:c r="W13" s="372" t="str">
        <x:f>IF(AND($E13&lt;&gt;"",$E13&lt;=W$5+6,$F13&gt;=W$5),"■","")</x:f>
      </x:c>
      <x:c r="X13" s="372" t="str">
        <x:f>IF(AND($E13&lt;&gt;"",$E13&lt;=X$5+6,$F13&gt;=X$5),"■","")</x:f>
      </x:c>
      <x:c r="Y13" s="372" t="str">
        <x:f>IF(AND($E13&lt;&gt;"",$E13&lt;=Y$5+6,$F13&gt;=Y$5),"■","")</x:f>
      </x:c>
      <x:c r="Z13" s="372" t="str">
        <x:f>IF(AND($E13&lt;&gt;"",$E13&lt;=Z$5+6,$F13&gt;=Z$5),"■","")</x:f>
      </x:c>
      <x:c r="AA13" s="372" t="str">
        <x:f>IF(AND($E13&lt;&gt;"",$E13&lt;=AA$5+6,$F13&gt;=AA$5),"■","")</x:f>
      </x:c>
      <x:c r="AB13" s="372" t="str">
        <x:f>IF(AND($E13&lt;&gt;"",$E13&lt;=AB$5+6,$F13&gt;=AB$5),"■","")</x:f>
      </x:c>
      <x:c r="AC13" s="372" t="str">
        <x:f>IF(AND($E13&lt;&gt;"",$E13&lt;=AC$5+6,$F13&gt;=AC$5),"■","")</x:f>
      </x:c>
      <x:c r="AD13" s="372" t="str">
        <x:f>IF(AND($E13&lt;&gt;"",$E13&lt;=AD$5+6,$F13&gt;=AD$5),"■","")</x:f>
      </x:c>
      <x:c r="AE13" s="372" t="str">
        <x:f>IF(AND($E13&lt;&gt;"",$E13&lt;=AE$5+6,$F13&gt;=AE$5),"■","")</x:f>
      </x:c>
      <x:c r="AF13" s="372" t="str">
        <x:f>IF(AND($E13&lt;&gt;"",$E13&lt;=AF$5+6,$F13&gt;=AF$5),"■","")</x:f>
      </x:c>
      <x:c r="AG13" s="372" t="str">
        <x:f>IF(AND($E13&lt;&gt;"",$E13&lt;=AG$5+6,$F13&gt;=AG$5),"■","")</x:f>
      </x:c>
      <x:c r="AH13" s="373" t="str">
        <x:f>IF(AND($E13&lt;&gt;"",$E13&lt;=AH$5+6,$F13&gt;=AH$5),"■","")</x:f>
      </x:c>
    </x:row>
    <x:row r="14" ht="38" customHeight="1">
      <x:c r="A14" s="465" t="str">
        <x:f>'作業計画'!A14</x:f>
        <x:v>00008</x:v>
      </x:c>
      <x:c r="B14" s="188" t="str">
        <x:f>'作業計画'!B14</x:f>
        <x:v>01.準備</x:v>
      </x:c>
      <x:c r="C14" s="48" t="str">
        <x:f>'作業計画'!C14</x:f>
        <x:v>INPUT確定・Redshift更新時刻の調査</x:v>
      </x:c>
      <x:c r="D14" s="48" t="str">
        <x:f>'作業計画'!D14</x:f>
        <x:v>データソース担当（要確定）</x:v>
      </x:c>
      <x:c r="E14" s="345" t="n">
        <x:f>IF('作業計画'!O14="","",'作業計画'!O14)</x:f>
        <x:v>46318</x:v>
      </x:c>
      <x:c r="F14" s="345" t="n">
        <x:f>IF('作業計画'!P14="","",'作業計画'!P14)</x:f>
        <x:v>46321</x:v>
      </x:c>
      <x:c r="G14" s="353" t="n">
        <x:f>'作業計画'!U14</x:f>
        <x:v>0</x:v>
      </x:c>
      <x:c r="H14" s="48" t="str">
        <x:f>'作業計画'!V14</x:f>
        <x:v>予定前</x:v>
      </x:c>
      <x:c r="I14" s="370" t="str">
        <x:f>IF(AND($E14&lt;&gt;"",$E14&lt;=I$5+6,$F14&gt;=I$5),"■","")</x:f>
        <x:v>■</x:v>
      </x:c>
      <x:c r="J14" s="370" t="str">
        <x:f>IF(AND($E14&lt;&gt;"",$E14&lt;=J$5+6,$F14&gt;=J$5),"■","")</x:f>
        <x:v>■</x:v>
      </x:c>
      <x:c r="K14" s="370" t="str">
        <x:f>IF(AND($E14&lt;&gt;"",$E14&lt;=K$5+6,$F14&gt;=K$5),"■","")</x:f>
      </x:c>
      <x:c r="L14" s="370" t="str">
        <x:f>IF(AND($E14&lt;&gt;"",$E14&lt;=L$5+6,$F14&gt;=L$5),"■","")</x:f>
      </x:c>
      <x:c r="M14" s="370" t="str">
        <x:f>IF(AND($E14&lt;&gt;"",$E14&lt;=M$5+6,$F14&gt;=M$5),"■","")</x:f>
      </x:c>
      <x:c r="N14" s="370" t="str">
        <x:f>IF(AND($E14&lt;&gt;"",$E14&lt;=N$5+6,$F14&gt;=N$5),"■","")</x:f>
      </x:c>
      <x:c r="O14" s="370" t="str">
        <x:f>IF(AND($E14&lt;&gt;"",$E14&lt;=O$5+6,$F14&gt;=O$5),"■","")</x:f>
      </x:c>
      <x:c r="P14" s="370" t="str">
        <x:f>IF(AND($E14&lt;&gt;"",$E14&lt;=P$5+6,$F14&gt;=P$5),"■","")</x:f>
      </x:c>
      <x:c r="Q14" s="370" t="str">
        <x:f>IF(AND($E14&lt;&gt;"",$E14&lt;=Q$5+6,$F14&gt;=Q$5),"■","")</x:f>
      </x:c>
      <x:c r="R14" s="370" t="str">
        <x:f>IF(AND($E14&lt;&gt;"",$E14&lt;=R$5+6,$F14&gt;=R$5),"■","")</x:f>
      </x:c>
      <x:c r="S14" s="370" t="str">
        <x:f>IF(AND($E14&lt;&gt;"",$E14&lt;=S$5+6,$F14&gt;=S$5),"■","")</x:f>
      </x:c>
      <x:c r="T14" s="370" t="str">
        <x:f>IF(AND($E14&lt;&gt;"",$E14&lt;=T$5+6,$F14&gt;=T$5),"■","")</x:f>
      </x:c>
      <x:c r="U14" s="370" t="str">
        <x:f>IF(AND($E14&lt;&gt;"",$E14&lt;=U$5+6,$F14&gt;=U$5),"■","")</x:f>
      </x:c>
      <x:c r="V14" s="370" t="str">
        <x:f>IF(AND($E14&lt;&gt;"",$E14&lt;=V$5+6,$F14&gt;=V$5),"■","")</x:f>
      </x:c>
      <x:c r="W14" s="370" t="str">
        <x:f>IF(AND($E14&lt;&gt;"",$E14&lt;=W$5+6,$F14&gt;=W$5),"■","")</x:f>
      </x:c>
      <x:c r="X14" s="370" t="str">
        <x:f>IF(AND($E14&lt;&gt;"",$E14&lt;=X$5+6,$F14&gt;=X$5),"■","")</x:f>
      </x:c>
      <x:c r="Y14" s="370" t="str">
        <x:f>IF(AND($E14&lt;&gt;"",$E14&lt;=Y$5+6,$F14&gt;=Y$5),"■","")</x:f>
      </x:c>
      <x:c r="Z14" s="370" t="str">
        <x:f>IF(AND($E14&lt;&gt;"",$E14&lt;=Z$5+6,$F14&gt;=Z$5),"■","")</x:f>
      </x:c>
      <x:c r="AA14" s="370" t="str">
        <x:f>IF(AND($E14&lt;&gt;"",$E14&lt;=AA$5+6,$F14&gt;=AA$5),"■","")</x:f>
      </x:c>
      <x:c r="AB14" s="370" t="str">
        <x:f>IF(AND($E14&lt;&gt;"",$E14&lt;=AB$5+6,$F14&gt;=AB$5),"■","")</x:f>
      </x:c>
      <x:c r="AC14" s="370" t="str">
        <x:f>IF(AND($E14&lt;&gt;"",$E14&lt;=AC$5+6,$F14&gt;=AC$5),"■","")</x:f>
      </x:c>
      <x:c r="AD14" s="370" t="str">
        <x:f>IF(AND($E14&lt;&gt;"",$E14&lt;=AD$5+6,$F14&gt;=AD$5),"■","")</x:f>
      </x:c>
      <x:c r="AE14" s="370" t="str">
        <x:f>IF(AND($E14&lt;&gt;"",$E14&lt;=AE$5+6,$F14&gt;=AE$5),"■","")</x:f>
      </x:c>
      <x:c r="AF14" s="370" t="str">
        <x:f>IF(AND($E14&lt;&gt;"",$E14&lt;=AF$5+6,$F14&gt;=AF$5),"■","")</x:f>
      </x:c>
      <x:c r="AG14" s="370" t="str">
        <x:f>IF(AND($E14&lt;&gt;"",$E14&lt;=AG$5+6,$F14&gt;=AG$5),"■","")</x:f>
      </x:c>
      <x:c r="AH14" s="371" t="str">
        <x:f>IF(AND($E14&lt;&gt;"",$E14&lt;=AH$5+6,$F14&gt;=AH$5),"■","")</x:f>
      </x:c>
    </x:row>
    <x:row r="15" ht="38" customHeight="1">
      <x:c r="A15" s="466" t="str">
        <x:f>'作業計画'!A15</x:f>
        <x:v>00009</x:v>
      </x:c>
      <x:c r="B15" s="188" t="str">
        <x:f>'作業計画'!B15</x:f>
        <x:v>01.準備</x:v>
      </x:c>
      <x:c r="C15" s="56" t="str">
        <x:f>'作業計画'!C15</x:f>
        <x:v>DPS対応の要否・対象範囲を決定</x:v>
      </x:c>
      <x:c r="D15" s="56" t="str">
        <x:f>'作業計画'!D15</x:f>
        <x:v>PM（要確定）</x:v>
      </x:c>
      <x:c r="E15" s="346" t="n">
        <x:f>IF('作業計画'!O15="","",'作業計画'!O15)</x:f>
        <x:v>46321</x:v>
      </x:c>
      <x:c r="F15" s="346" t="n">
        <x:f>IF('作業計画'!P15="","",'作業計画'!P15)</x:f>
        <x:v>46322</x:v>
      </x:c>
      <x:c r="G15" s="354" t="n">
        <x:f>'作業計画'!U15</x:f>
        <x:v>0</x:v>
      </x:c>
      <x:c r="H15" s="56" t="str">
        <x:f>'作業計画'!V15</x:f>
        <x:v>予定前</x:v>
      </x:c>
      <x:c r="I15" s="372" t="str">
        <x:f>IF(AND($E15&lt;&gt;"",$E15&lt;=I$5+6,$F15&gt;=I$5),"■","")</x:f>
      </x:c>
      <x:c r="J15" s="372" t="str">
        <x:f>IF(AND($E15&lt;&gt;"",$E15&lt;=J$5+6,$F15&gt;=J$5),"■","")</x:f>
        <x:v>■</x:v>
      </x:c>
      <x:c r="K15" s="372" t="str">
        <x:f>IF(AND($E15&lt;&gt;"",$E15&lt;=K$5+6,$F15&gt;=K$5),"■","")</x:f>
      </x:c>
      <x:c r="L15" s="372" t="str">
        <x:f>IF(AND($E15&lt;&gt;"",$E15&lt;=L$5+6,$F15&gt;=L$5),"■","")</x:f>
      </x:c>
      <x:c r="M15" s="372" t="str">
        <x:f>IF(AND($E15&lt;&gt;"",$E15&lt;=M$5+6,$F15&gt;=M$5),"■","")</x:f>
      </x:c>
      <x:c r="N15" s="372" t="str">
        <x:f>IF(AND($E15&lt;&gt;"",$E15&lt;=N$5+6,$F15&gt;=N$5),"■","")</x:f>
      </x:c>
      <x:c r="O15" s="372" t="str">
        <x:f>IF(AND($E15&lt;&gt;"",$E15&lt;=O$5+6,$F15&gt;=O$5),"■","")</x:f>
      </x:c>
      <x:c r="P15" s="372" t="str">
        <x:f>IF(AND($E15&lt;&gt;"",$E15&lt;=P$5+6,$F15&gt;=P$5),"■","")</x:f>
      </x:c>
      <x:c r="Q15" s="372" t="str">
        <x:f>IF(AND($E15&lt;&gt;"",$E15&lt;=Q$5+6,$F15&gt;=Q$5),"■","")</x:f>
      </x:c>
      <x:c r="R15" s="372" t="str">
        <x:f>IF(AND($E15&lt;&gt;"",$E15&lt;=R$5+6,$F15&gt;=R$5),"■","")</x:f>
      </x:c>
      <x:c r="S15" s="372" t="str">
        <x:f>IF(AND($E15&lt;&gt;"",$E15&lt;=S$5+6,$F15&gt;=S$5),"■","")</x:f>
      </x:c>
      <x:c r="T15" s="372" t="str">
        <x:f>IF(AND($E15&lt;&gt;"",$E15&lt;=T$5+6,$F15&gt;=T$5),"■","")</x:f>
      </x:c>
      <x:c r="U15" s="372" t="str">
        <x:f>IF(AND($E15&lt;&gt;"",$E15&lt;=U$5+6,$F15&gt;=U$5),"■","")</x:f>
      </x:c>
      <x:c r="V15" s="372" t="str">
        <x:f>IF(AND($E15&lt;&gt;"",$E15&lt;=V$5+6,$F15&gt;=V$5),"■","")</x:f>
      </x:c>
      <x:c r="W15" s="372" t="str">
        <x:f>IF(AND($E15&lt;&gt;"",$E15&lt;=W$5+6,$F15&gt;=W$5),"■","")</x:f>
      </x:c>
      <x:c r="X15" s="372" t="str">
        <x:f>IF(AND($E15&lt;&gt;"",$E15&lt;=X$5+6,$F15&gt;=X$5),"■","")</x:f>
      </x:c>
      <x:c r="Y15" s="372" t="str">
        <x:f>IF(AND($E15&lt;&gt;"",$E15&lt;=Y$5+6,$F15&gt;=Y$5),"■","")</x:f>
      </x:c>
      <x:c r="Z15" s="372" t="str">
        <x:f>IF(AND($E15&lt;&gt;"",$E15&lt;=Z$5+6,$F15&gt;=Z$5),"■","")</x:f>
      </x:c>
      <x:c r="AA15" s="372" t="str">
        <x:f>IF(AND($E15&lt;&gt;"",$E15&lt;=AA$5+6,$F15&gt;=AA$5),"■","")</x:f>
      </x:c>
      <x:c r="AB15" s="372" t="str">
        <x:f>IF(AND($E15&lt;&gt;"",$E15&lt;=AB$5+6,$F15&gt;=AB$5),"■","")</x:f>
      </x:c>
      <x:c r="AC15" s="372" t="str">
        <x:f>IF(AND($E15&lt;&gt;"",$E15&lt;=AC$5+6,$F15&gt;=AC$5),"■","")</x:f>
      </x:c>
      <x:c r="AD15" s="372" t="str">
        <x:f>IF(AND($E15&lt;&gt;"",$E15&lt;=AD$5+6,$F15&gt;=AD$5),"■","")</x:f>
      </x:c>
      <x:c r="AE15" s="372" t="str">
        <x:f>IF(AND($E15&lt;&gt;"",$E15&lt;=AE$5+6,$F15&gt;=AE$5),"■","")</x:f>
      </x:c>
      <x:c r="AF15" s="372" t="str">
        <x:f>IF(AND($E15&lt;&gt;"",$E15&lt;=AF$5+6,$F15&gt;=AF$5),"■","")</x:f>
      </x:c>
      <x:c r="AG15" s="372" t="str">
        <x:f>IF(AND($E15&lt;&gt;"",$E15&lt;=AG$5+6,$F15&gt;=AG$5),"■","")</x:f>
      </x:c>
      <x:c r="AH15" s="373" t="str">
        <x:f>IF(AND($E15&lt;&gt;"",$E15&lt;=AH$5+6,$F15&gt;=AH$5),"■","")</x:f>
      </x:c>
    </x:row>
    <x:row r="16" ht="38" customHeight="1">
      <x:c r="A16" s="465" t="str">
        <x:f>'作業計画'!A16</x:f>
        <x:v>00010</x:v>
      </x:c>
      <x:c r="B16" s="188" t="str">
        <x:f>'作業計画'!B16</x:f>
        <x:v>01.準備</x:v>
      </x:c>
      <x:c r="C16" s="48" t="str">
        <x:f>'作業計画'!C16</x:f>
        <x:v>WBS・工程・マイルストーンの作成</x:v>
      </x:c>
      <x:c r="D16" s="48" t="str">
        <x:f>'作業計画'!D16</x:f>
        <x:v>PM（要確定）</x:v>
      </x:c>
      <x:c r="E16" s="345" t="n">
        <x:f>IF('作業計画'!O16="","",'作業計画'!O16)</x:f>
        <x:v>46323</x:v>
      </x:c>
      <x:c r="F16" s="345" t="n">
        <x:f>IF('作業計画'!P16="","",'作業計画'!P16)</x:f>
        <x:v>46323</x:v>
      </x:c>
      <x:c r="G16" s="353" t="n">
        <x:f>'作業計画'!U16</x:f>
        <x:v>0</x:v>
      </x:c>
      <x:c r="H16" s="48" t="str">
        <x:f>'作業計画'!V16</x:f>
        <x:v>予定前</x:v>
      </x:c>
      <x:c r="I16" s="370" t="str">
        <x:f>IF(AND($E16&lt;&gt;"",$E16&lt;=I$5+6,$F16&gt;=I$5),"■","")</x:f>
      </x:c>
      <x:c r="J16" s="370" t="str">
        <x:f>IF(AND($E16&lt;&gt;"",$E16&lt;=J$5+6,$F16&gt;=J$5),"■","")</x:f>
        <x:v>■</x:v>
      </x:c>
      <x:c r="K16" s="370" t="str">
        <x:f>IF(AND($E16&lt;&gt;"",$E16&lt;=K$5+6,$F16&gt;=K$5),"■","")</x:f>
      </x:c>
      <x:c r="L16" s="370" t="str">
        <x:f>IF(AND($E16&lt;&gt;"",$E16&lt;=L$5+6,$F16&gt;=L$5),"■","")</x:f>
      </x:c>
      <x:c r="M16" s="370" t="str">
        <x:f>IF(AND($E16&lt;&gt;"",$E16&lt;=M$5+6,$F16&gt;=M$5),"■","")</x:f>
      </x:c>
      <x:c r="N16" s="370" t="str">
        <x:f>IF(AND($E16&lt;&gt;"",$E16&lt;=N$5+6,$F16&gt;=N$5),"■","")</x:f>
      </x:c>
      <x:c r="O16" s="370" t="str">
        <x:f>IF(AND($E16&lt;&gt;"",$E16&lt;=O$5+6,$F16&gt;=O$5),"■","")</x:f>
      </x:c>
      <x:c r="P16" s="370" t="str">
        <x:f>IF(AND($E16&lt;&gt;"",$E16&lt;=P$5+6,$F16&gt;=P$5),"■","")</x:f>
      </x:c>
      <x:c r="Q16" s="370" t="str">
        <x:f>IF(AND($E16&lt;&gt;"",$E16&lt;=Q$5+6,$F16&gt;=Q$5),"■","")</x:f>
      </x:c>
      <x:c r="R16" s="370" t="str">
        <x:f>IF(AND($E16&lt;&gt;"",$E16&lt;=R$5+6,$F16&gt;=R$5),"■","")</x:f>
      </x:c>
      <x:c r="S16" s="370" t="str">
        <x:f>IF(AND($E16&lt;&gt;"",$E16&lt;=S$5+6,$F16&gt;=S$5),"■","")</x:f>
      </x:c>
      <x:c r="T16" s="370" t="str">
        <x:f>IF(AND($E16&lt;&gt;"",$E16&lt;=T$5+6,$F16&gt;=T$5),"■","")</x:f>
      </x:c>
      <x:c r="U16" s="370" t="str">
        <x:f>IF(AND($E16&lt;&gt;"",$E16&lt;=U$5+6,$F16&gt;=U$5),"■","")</x:f>
      </x:c>
      <x:c r="V16" s="370" t="str">
        <x:f>IF(AND($E16&lt;&gt;"",$E16&lt;=V$5+6,$F16&gt;=V$5),"■","")</x:f>
      </x:c>
      <x:c r="W16" s="370" t="str">
        <x:f>IF(AND($E16&lt;&gt;"",$E16&lt;=W$5+6,$F16&gt;=W$5),"■","")</x:f>
      </x:c>
      <x:c r="X16" s="370" t="str">
        <x:f>IF(AND($E16&lt;&gt;"",$E16&lt;=X$5+6,$F16&gt;=X$5),"■","")</x:f>
      </x:c>
      <x:c r="Y16" s="370" t="str">
        <x:f>IF(AND($E16&lt;&gt;"",$E16&lt;=Y$5+6,$F16&gt;=Y$5),"■","")</x:f>
      </x:c>
      <x:c r="Z16" s="370" t="str">
        <x:f>IF(AND($E16&lt;&gt;"",$E16&lt;=Z$5+6,$F16&gt;=Z$5),"■","")</x:f>
      </x:c>
      <x:c r="AA16" s="370" t="str">
        <x:f>IF(AND($E16&lt;&gt;"",$E16&lt;=AA$5+6,$F16&gt;=AA$5),"■","")</x:f>
      </x:c>
      <x:c r="AB16" s="370" t="str">
        <x:f>IF(AND($E16&lt;&gt;"",$E16&lt;=AB$5+6,$F16&gt;=AB$5),"■","")</x:f>
      </x:c>
      <x:c r="AC16" s="370" t="str">
        <x:f>IF(AND($E16&lt;&gt;"",$E16&lt;=AC$5+6,$F16&gt;=AC$5),"■","")</x:f>
      </x:c>
      <x:c r="AD16" s="370" t="str">
        <x:f>IF(AND($E16&lt;&gt;"",$E16&lt;=AD$5+6,$F16&gt;=AD$5),"■","")</x:f>
      </x:c>
      <x:c r="AE16" s="370" t="str">
        <x:f>IF(AND($E16&lt;&gt;"",$E16&lt;=AE$5+6,$F16&gt;=AE$5),"■","")</x:f>
      </x:c>
      <x:c r="AF16" s="370" t="str">
        <x:f>IF(AND($E16&lt;&gt;"",$E16&lt;=AF$5+6,$F16&gt;=AF$5),"■","")</x:f>
      </x:c>
      <x:c r="AG16" s="370" t="str">
        <x:f>IF(AND($E16&lt;&gt;"",$E16&lt;=AG$5+6,$F16&gt;=AG$5),"■","")</x:f>
      </x:c>
      <x:c r="AH16" s="371" t="str">
        <x:f>IF(AND($E16&lt;&gt;"",$E16&lt;=AH$5+6,$F16&gt;=AH$5),"■","")</x:f>
      </x:c>
    </x:row>
    <x:row r="17" ht="38" customHeight="1">
      <x:c r="A17" s="466" t="str">
        <x:f>'作業計画'!A17</x:f>
        <x:v>00011</x:v>
      </x:c>
      <x:c r="B17" s="188" t="str">
        <x:f>'作業計画'!B17</x:f>
        <x:v>01.準備</x:v>
      </x:c>
      <x:c r="C17" s="56" t="str">
        <x:f>'作業計画'!C17</x:f>
        <x:v>プロジェクト計画書・体制・リスクの作成</x:v>
      </x:c>
      <x:c r="D17" s="56" t="str">
        <x:f>'作業計画'!D17</x:f>
        <x:v>PM（要確定）</x:v>
      </x:c>
      <x:c r="E17" s="346" t="n">
        <x:f>IF('作業計画'!O17="","",'作業計画'!O17)</x:f>
        <x:v>46324</x:v>
      </x:c>
      <x:c r="F17" s="346" t="n">
        <x:f>IF('作業計画'!P17="","",'作業計画'!P17)</x:f>
        <x:v>46325</x:v>
      </x:c>
      <x:c r="G17" s="354" t="n">
        <x:f>'作業計画'!U17</x:f>
        <x:v>0</x:v>
      </x:c>
      <x:c r="H17" s="56" t="str">
        <x:f>'作業計画'!V17</x:f>
        <x:v>予定前</x:v>
      </x:c>
      <x:c r="I17" s="372" t="str">
        <x:f>IF(AND($E17&lt;&gt;"",$E17&lt;=I$5+6,$F17&gt;=I$5),"■","")</x:f>
      </x:c>
      <x:c r="J17" s="372" t="str">
        <x:f>IF(AND($E17&lt;&gt;"",$E17&lt;=J$5+6,$F17&gt;=J$5),"■","")</x:f>
        <x:v>■</x:v>
      </x:c>
      <x:c r="K17" s="372" t="str">
        <x:f>IF(AND($E17&lt;&gt;"",$E17&lt;=K$5+6,$F17&gt;=K$5),"■","")</x:f>
      </x:c>
      <x:c r="L17" s="372" t="str">
        <x:f>IF(AND($E17&lt;&gt;"",$E17&lt;=L$5+6,$F17&gt;=L$5),"■","")</x:f>
      </x:c>
      <x:c r="M17" s="372" t="str">
        <x:f>IF(AND($E17&lt;&gt;"",$E17&lt;=M$5+6,$F17&gt;=M$5),"■","")</x:f>
      </x:c>
      <x:c r="N17" s="372" t="str">
        <x:f>IF(AND($E17&lt;&gt;"",$E17&lt;=N$5+6,$F17&gt;=N$5),"■","")</x:f>
      </x:c>
      <x:c r="O17" s="372" t="str">
        <x:f>IF(AND($E17&lt;&gt;"",$E17&lt;=O$5+6,$F17&gt;=O$5),"■","")</x:f>
      </x:c>
      <x:c r="P17" s="372" t="str">
        <x:f>IF(AND($E17&lt;&gt;"",$E17&lt;=P$5+6,$F17&gt;=P$5),"■","")</x:f>
      </x:c>
      <x:c r="Q17" s="372" t="str">
        <x:f>IF(AND($E17&lt;&gt;"",$E17&lt;=Q$5+6,$F17&gt;=Q$5),"■","")</x:f>
      </x:c>
      <x:c r="R17" s="372" t="str">
        <x:f>IF(AND($E17&lt;&gt;"",$E17&lt;=R$5+6,$F17&gt;=R$5),"■","")</x:f>
      </x:c>
      <x:c r="S17" s="372" t="str">
        <x:f>IF(AND($E17&lt;&gt;"",$E17&lt;=S$5+6,$F17&gt;=S$5),"■","")</x:f>
      </x:c>
      <x:c r="T17" s="372" t="str">
        <x:f>IF(AND($E17&lt;&gt;"",$E17&lt;=T$5+6,$F17&gt;=T$5),"■","")</x:f>
      </x:c>
      <x:c r="U17" s="372" t="str">
        <x:f>IF(AND($E17&lt;&gt;"",$E17&lt;=U$5+6,$F17&gt;=U$5),"■","")</x:f>
      </x:c>
      <x:c r="V17" s="372" t="str">
        <x:f>IF(AND($E17&lt;&gt;"",$E17&lt;=V$5+6,$F17&gt;=V$5),"■","")</x:f>
      </x:c>
      <x:c r="W17" s="372" t="str">
        <x:f>IF(AND($E17&lt;&gt;"",$E17&lt;=W$5+6,$F17&gt;=W$5),"■","")</x:f>
      </x:c>
      <x:c r="X17" s="372" t="str">
        <x:f>IF(AND($E17&lt;&gt;"",$E17&lt;=X$5+6,$F17&gt;=X$5),"■","")</x:f>
      </x:c>
      <x:c r="Y17" s="372" t="str">
        <x:f>IF(AND($E17&lt;&gt;"",$E17&lt;=Y$5+6,$F17&gt;=Y$5),"■","")</x:f>
      </x:c>
      <x:c r="Z17" s="372" t="str">
        <x:f>IF(AND($E17&lt;&gt;"",$E17&lt;=Z$5+6,$F17&gt;=Z$5),"■","")</x:f>
      </x:c>
      <x:c r="AA17" s="372" t="str">
        <x:f>IF(AND($E17&lt;&gt;"",$E17&lt;=AA$5+6,$F17&gt;=AA$5),"■","")</x:f>
      </x:c>
      <x:c r="AB17" s="372" t="str">
        <x:f>IF(AND($E17&lt;&gt;"",$E17&lt;=AB$5+6,$F17&gt;=AB$5),"■","")</x:f>
      </x:c>
      <x:c r="AC17" s="372" t="str">
        <x:f>IF(AND($E17&lt;&gt;"",$E17&lt;=AC$5+6,$F17&gt;=AC$5),"■","")</x:f>
      </x:c>
      <x:c r="AD17" s="372" t="str">
        <x:f>IF(AND($E17&lt;&gt;"",$E17&lt;=AD$5+6,$F17&gt;=AD$5),"■","")</x:f>
      </x:c>
      <x:c r="AE17" s="372" t="str">
        <x:f>IF(AND($E17&lt;&gt;"",$E17&lt;=AE$5+6,$F17&gt;=AE$5),"■","")</x:f>
      </x:c>
      <x:c r="AF17" s="372" t="str">
        <x:f>IF(AND($E17&lt;&gt;"",$E17&lt;=AF$5+6,$F17&gt;=AF$5),"■","")</x:f>
      </x:c>
      <x:c r="AG17" s="372" t="str">
        <x:f>IF(AND($E17&lt;&gt;"",$E17&lt;=AG$5+6,$F17&gt;=AG$5),"■","")</x:f>
      </x:c>
      <x:c r="AH17" s="373" t="str">
        <x:f>IF(AND($E17&lt;&gt;"",$E17&lt;=AH$5+6,$F17&gt;=AH$5),"■","")</x:f>
      </x:c>
    </x:row>
    <x:row r="18" ht="38" customHeight="1">
      <x:c r="A18" s="465" t="str">
        <x:f>'作業計画'!A18</x:f>
        <x:v>00012</x:v>
      </x:c>
      <x:c r="B18" s="188" t="str">
        <x:f>'作業計画'!B18</x:f>
        <x:v>01.準備</x:v>
      </x:c>
      <x:c r="C18" s="48" t="str">
        <x:f>'作業計画'!C18</x:f>
        <x:v>キックオフ・進め方の合意</x:v>
      </x:c>
      <x:c r="D18" s="48" t="str">
        <x:f>'作業計画'!D18</x:f>
        <x:v>PM／関係者（要確定）</x:v>
      </x:c>
      <x:c r="E18" s="345" t="n">
        <x:f>IF('作業計画'!O18="","",'作業計画'!O18)</x:f>
        <x:v>46328</x:v>
      </x:c>
      <x:c r="F18" s="345" t="n">
        <x:f>IF('作業計画'!P18="","",'作業計画'!P18)</x:f>
        <x:v>46328</x:v>
      </x:c>
      <x:c r="G18" s="353" t="n">
        <x:f>'作業計画'!U18</x:f>
        <x:v>0</x:v>
      </x:c>
      <x:c r="H18" s="48" t="str">
        <x:f>'作業計画'!V18</x:f>
        <x:v>予定前</x:v>
      </x:c>
      <x:c r="I18" s="370" t="str">
        <x:f>IF(AND($E18&lt;&gt;"",$E18&lt;=I$5+6,$F18&gt;=I$5),"■","")</x:f>
      </x:c>
      <x:c r="J18" s="370" t="str">
        <x:f>IF(AND($E18&lt;&gt;"",$E18&lt;=J$5+6,$F18&gt;=J$5),"■","")</x:f>
      </x:c>
      <x:c r="K18" s="370" t="str">
        <x:f>IF(AND($E18&lt;&gt;"",$E18&lt;=K$5+6,$F18&gt;=K$5),"■","")</x:f>
        <x:v>■</x:v>
      </x:c>
      <x:c r="L18" s="370" t="str">
        <x:f>IF(AND($E18&lt;&gt;"",$E18&lt;=L$5+6,$F18&gt;=L$5),"■","")</x:f>
      </x:c>
      <x:c r="M18" s="370" t="str">
        <x:f>IF(AND($E18&lt;&gt;"",$E18&lt;=M$5+6,$F18&gt;=M$5),"■","")</x:f>
      </x:c>
      <x:c r="N18" s="370" t="str">
        <x:f>IF(AND($E18&lt;&gt;"",$E18&lt;=N$5+6,$F18&gt;=N$5),"■","")</x:f>
      </x:c>
      <x:c r="O18" s="370" t="str">
        <x:f>IF(AND($E18&lt;&gt;"",$E18&lt;=O$5+6,$F18&gt;=O$5),"■","")</x:f>
      </x:c>
      <x:c r="P18" s="370" t="str">
        <x:f>IF(AND($E18&lt;&gt;"",$E18&lt;=P$5+6,$F18&gt;=P$5),"■","")</x:f>
      </x:c>
      <x:c r="Q18" s="370" t="str">
        <x:f>IF(AND($E18&lt;&gt;"",$E18&lt;=Q$5+6,$F18&gt;=Q$5),"■","")</x:f>
      </x:c>
      <x:c r="R18" s="370" t="str">
        <x:f>IF(AND($E18&lt;&gt;"",$E18&lt;=R$5+6,$F18&gt;=R$5),"■","")</x:f>
      </x:c>
      <x:c r="S18" s="370" t="str">
        <x:f>IF(AND($E18&lt;&gt;"",$E18&lt;=S$5+6,$F18&gt;=S$5),"■","")</x:f>
      </x:c>
      <x:c r="T18" s="370" t="str">
        <x:f>IF(AND($E18&lt;&gt;"",$E18&lt;=T$5+6,$F18&gt;=T$5),"■","")</x:f>
      </x:c>
      <x:c r="U18" s="370" t="str">
        <x:f>IF(AND($E18&lt;&gt;"",$E18&lt;=U$5+6,$F18&gt;=U$5),"■","")</x:f>
      </x:c>
      <x:c r="V18" s="370" t="str">
        <x:f>IF(AND($E18&lt;&gt;"",$E18&lt;=V$5+6,$F18&gt;=V$5),"■","")</x:f>
      </x:c>
      <x:c r="W18" s="370" t="str">
        <x:f>IF(AND($E18&lt;&gt;"",$E18&lt;=W$5+6,$F18&gt;=W$5),"■","")</x:f>
      </x:c>
      <x:c r="X18" s="370" t="str">
        <x:f>IF(AND($E18&lt;&gt;"",$E18&lt;=X$5+6,$F18&gt;=X$5),"■","")</x:f>
      </x:c>
      <x:c r="Y18" s="370" t="str">
        <x:f>IF(AND($E18&lt;&gt;"",$E18&lt;=Y$5+6,$F18&gt;=Y$5),"■","")</x:f>
      </x:c>
      <x:c r="Z18" s="370" t="str">
        <x:f>IF(AND($E18&lt;&gt;"",$E18&lt;=Z$5+6,$F18&gt;=Z$5),"■","")</x:f>
      </x:c>
      <x:c r="AA18" s="370" t="str">
        <x:f>IF(AND($E18&lt;&gt;"",$E18&lt;=AA$5+6,$F18&gt;=AA$5),"■","")</x:f>
      </x:c>
      <x:c r="AB18" s="370" t="str">
        <x:f>IF(AND($E18&lt;&gt;"",$E18&lt;=AB$5+6,$F18&gt;=AB$5),"■","")</x:f>
      </x:c>
      <x:c r="AC18" s="370" t="str">
        <x:f>IF(AND($E18&lt;&gt;"",$E18&lt;=AC$5+6,$F18&gt;=AC$5),"■","")</x:f>
      </x:c>
      <x:c r="AD18" s="370" t="str">
        <x:f>IF(AND($E18&lt;&gt;"",$E18&lt;=AD$5+6,$F18&gt;=AD$5),"■","")</x:f>
      </x:c>
      <x:c r="AE18" s="370" t="str">
        <x:f>IF(AND($E18&lt;&gt;"",$E18&lt;=AE$5+6,$F18&gt;=AE$5),"■","")</x:f>
      </x:c>
      <x:c r="AF18" s="370" t="str">
        <x:f>IF(AND($E18&lt;&gt;"",$E18&lt;=AF$5+6,$F18&gt;=AF$5),"■","")</x:f>
      </x:c>
      <x:c r="AG18" s="370" t="str">
        <x:f>IF(AND($E18&lt;&gt;"",$E18&lt;=AG$5+6,$F18&gt;=AG$5),"■","")</x:f>
      </x:c>
      <x:c r="AH18" s="371" t="str">
        <x:f>IF(AND($E18&lt;&gt;"",$E18&lt;=AH$5+6,$F18&gt;=AH$5),"■","")</x:f>
      </x:c>
    </x:row>
    <x:row r="19" ht="38" customHeight="1">
      <x:c r="A19" s="466" t="str">
        <x:f>'作業計画'!A19</x:f>
        <x:v>00013</x:v>
      </x:c>
      <x:c r="B19" s="192" t="str">
        <x:f>'作業計画'!B19</x:f>
        <x:v>02.要件・設計</x:v>
      </x:c>
      <x:c r="C19" s="56" t="str">
        <x:f>'作業計画'!C19</x:f>
        <x:v>To-Be全体構成・今回の開発範囲を設計</x:v>
      </x:c>
      <x:c r="D19" s="56" t="str">
        <x:f>'作業計画'!D19</x:f>
        <x:v>アーキテクト（要確定）</x:v>
      </x:c>
      <x:c r="E19" s="346" t="n">
        <x:f>IF('作業計画'!O19="","",'作業計画'!O19)</x:f>
        <x:v>46329</x:v>
      </x:c>
      <x:c r="F19" s="346" t="n">
        <x:f>IF('作業計画'!P19="","",'作業計画'!P19)</x:f>
        <x:v>46331</x:v>
      </x:c>
      <x:c r="G19" s="354" t="n">
        <x:f>'作業計画'!U19</x:f>
        <x:v>0</x:v>
      </x:c>
      <x:c r="H19" s="56" t="str">
        <x:f>'作業計画'!V19</x:f>
        <x:v>予定前</x:v>
      </x:c>
      <x:c r="I19" s="372" t="str">
        <x:f>IF(AND($E19&lt;&gt;"",$E19&lt;=I$5+6,$F19&gt;=I$5),"■","")</x:f>
      </x:c>
      <x:c r="J19" s="372" t="str">
        <x:f>IF(AND($E19&lt;&gt;"",$E19&lt;=J$5+6,$F19&gt;=J$5),"■","")</x:f>
      </x:c>
      <x:c r="K19" s="372" t="str">
        <x:f>IF(AND($E19&lt;&gt;"",$E19&lt;=K$5+6,$F19&gt;=K$5),"■","")</x:f>
        <x:v>■</x:v>
      </x:c>
      <x:c r="L19" s="372" t="str">
        <x:f>IF(AND($E19&lt;&gt;"",$E19&lt;=L$5+6,$F19&gt;=L$5),"■","")</x:f>
      </x:c>
      <x:c r="M19" s="372" t="str">
        <x:f>IF(AND($E19&lt;&gt;"",$E19&lt;=M$5+6,$F19&gt;=M$5),"■","")</x:f>
      </x:c>
      <x:c r="N19" s="372" t="str">
        <x:f>IF(AND($E19&lt;&gt;"",$E19&lt;=N$5+6,$F19&gt;=N$5),"■","")</x:f>
      </x:c>
      <x:c r="O19" s="372" t="str">
        <x:f>IF(AND($E19&lt;&gt;"",$E19&lt;=O$5+6,$F19&gt;=O$5),"■","")</x:f>
      </x:c>
      <x:c r="P19" s="372" t="str">
        <x:f>IF(AND($E19&lt;&gt;"",$E19&lt;=P$5+6,$F19&gt;=P$5),"■","")</x:f>
      </x:c>
      <x:c r="Q19" s="372" t="str">
        <x:f>IF(AND($E19&lt;&gt;"",$E19&lt;=Q$5+6,$F19&gt;=Q$5),"■","")</x:f>
      </x:c>
      <x:c r="R19" s="372" t="str">
        <x:f>IF(AND($E19&lt;&gt;"",$E19&lt;=R$5+6,$F19&gt;=R$5),"■","")</x:f>
      </x:c>
      <x:c r="S19" s="372" t="str">
        <x:f>IF(AND($E19&lt;&gt;"",$E19&lt;=S$5+6,$F19&gt;=S$5),"■","")</x:f>
      </x:c>
      <x:c r="T19" s="372" t="str">
        <x:f>IF(AND($E19&lt;&gt;"",$E19&lt;=T$5+6,$F19&gt;=T$5),"■","")</x:f>
      </x:c>
      <x:c r="U19" s="372" t="str">
        <x:f>IF(AND($E19&lt;&gt;"",$E19&lt;=U$5+6,$F19&gt;=U$5),"■","")</x:f>
      </x:c>
      <x:c r="V19" s="372" t="str">
        <x:f>IF(AND($E19&lt;&gt;"",$E19&lt;=V$5+6,$F19&gt;=V$5),"■","")</x:f>
      </x:c>
      <x:c r="W19" s="372" t="str">
        <x:f>IF(AND($E19&lt;&gt;"",$E19&lt;=W$5+6,$F19&gt;=W$5),"■","")</x:f>
      </x:c>
      <x:c r="X19" s="372" t="str">
        <x:f>IF(AND($E19&lt;&gt;"",$E19&lt;=X$5+6,$F19&gt;=X$5),"■","")</x:f>
      </x:c>
      <x:c r="Y19" s="372" t="str">
        <x:f>IF(AND($E19&lt;&gt;"",$E19&lt;=Y$5+6,$F19&gt;=Y$5),"■","")</x:f>
      </x:c>
      <x:c r="Z19" s="372" t="str">
        <x:f>IF(AND($E19&lt;&gt;"",$E19&lt;=Z$5+6,$F19&gt;=Z$5),"■","")</x:f>
      </x:c>
      <x:c r="AA19" s="372" t="str">
        <x:f>IF(AND($E19&lt;&gt;"",$E19&lt;=AA$5+6,$F19&gt;=AA$5),"■","")</x:f>
      </x:c>
      <x:c r="AB19" s="372" t="str">
        <x:f>IF(AND($E19&lt;&gt;"",$E19&lt;=AB$5+6,$F19&gt;=AB$5),"■","")</x:f>
      </x:c>
      <x:c r="AC19" s="372" t="str">
        <x:f>IF(AND($E19&lt;&gt;"",$E19&lt;=AC$5+6,$F19&gt;=AC$5),"■","")</x:f>
      </x:c>
      <x:c r="AD19" s="372" t="str">
        <x:f>IF(AND($E19&lt;&gt;"",$E19&lt;=AD$5+6,$F19&gt;=AD$5),"■","")</x:f>
      </x:c>
      <x:c r="AE19" s="372" t="str">
        <x:f>IF(AND($E19&lt;&gt;"",$E19&lt;=AE$5+6,$F19&gt;=AE$5),"■","")</x:f>
      </x:c>
      <x:c r="AF19" s="372" t="str">
        <x:f>IF(AND($E19&lt;&gt;"",$E19&lt;=AF$5+6,$F19&gt;=AF$5),"■","")</x:f>
      </x:c>
      <x:c r="AG19" s="372" t="str">
        <x:f>IF(AND($E19&lt;&gt;"",$E19&lt;=AG$5+6,$F19&gt;=AG$5),"■","")</x:f>
      </x:c>
      <x:c r="AH19" s="373" t="str">
        <x:f>IF(AND($E19&lt;&gt;"",$E19&lt;=AH$5+6,$F19&gt;=AH$5),"■","")</x:f>
      </x:c>
    </x:row>
    <x:row r="20" ht="38" customHeight="1">
      <x:c r="A20" s="465" t="str">
        <x:f>'作業計画'!A20</x:f>
        <x:v>00014</x:v>
      </x:c>
      <x:c r="B20" s="192" t="str">
        <x:f>'作業計画'!B20</x:f>
        <x:v>02.要件・設計</x:v>
      </x:c>
      <x:c r="C20" s="48" t="str">
        <x:f>'作業計画'!C20</x:f>
        <x:v>NextForce開発環境への接続・コピー可否確認</x:v>
      </x:c>
      <x:c r="D20" s="48" t="str">
        <x:f>'作業計画'!D20</x:f>
        <x:v>PM／接続先管理者（要確定）</x:v>
      </x:c>
      <x:c r="E20" s="345" t="n">
        <x:f>IF('作業計画'!O20="","",'作業計画'!O20)</x:f>
        <x:v>46332</x:v>
      </x:c>
      <x:c r="F20" s="345" t="n">
        <x:f>IF('作業計画'!P20="","",'作業計画'!P20)</x:f>
        <x:v>46335</x:v>
      </x:c>
      <x:c r="G20" s="353" t="n">
        <x:f>'作業計画'!U20</x:f>
        <x:v>0</x:v>
      </x:c>
      <x:c r="H20" s="48" t="str">
        <x:f>'作業計画'!V20</x:f>
        <x:v>予定前</x:v>
      </x:c>
      <x:c r="I20" s="370" t="str">
        <x:f>IF(AND($E20&lt;&gt;"",$E20&lt;=I$5+6,$F20&gt;=I$5),"■","")</x:f>
      </x:c>
      <x:c r="J20" s="370" t="str">
        <x:f>IF(AND($E20&lt;&gt;"",$E20&lt;=J$5+6,$F20&gt;=J$5),"■","")</x:f>
      </x:c>
      <x:c r="K20" s="370" t="str">
        <x:f>IF(AND($E20&lt;&gt;"",$E20&lt;=K$5+6,$F20&gt;=K$5),"■","")</x:f>
        <x:v>■</x:v>
      </x:c>
      <x:c r="L20" s="370" t="str">
        <x:f>IF(AND($E20&lt;&gt;"",$E20&lt;=L$5+6,$F20&gt;=L$5),"■","")</x:f>
        <x:v>■</x:v>
      </x:c>
      <x:c r="M20" s="370" t="str">
        <x:f>IF(AND($E20&lt;&gt;"",$E20&lt;=M$5+6,$F20&gt;=M$5),"■","")</x:f>
      </x:c>
      <x:c r="N20" s="370" t="str">
        <x:f>IF(AND($E20&lt;&gt;"",$E20&lt;=N$5+6,$F20&gt;=N$5),"■","")</x:f>
      </x:c>
      <x:c r="O20" s="370" t="str">
        <x:f>IF(AND($E20&lt;&gt;"",$E20&lt;=O$5+6,$F20&gt;=O$5),"■","")</x:f>
      </x:c>
      <x:c r="P20" s="370" t="str">
        <x:f>IF(AND($E20&lt;&gt;"",$E20&lt;=P$5+6,$F20&gt;=P$5),"■","")</x:f>
      </x:c>
      <x:c r="Q20" s="370" t="str">
        <x:f>IF(AND($E20&lt;&gt;"",$E20&lt;=Q$5+6,$F20&gt;=Q$5),"■","")</x:f>
      </x:c>
      <x:c r="R20" s="370" t="str">
        <x:f>IF(AND($E20&lt;&gt;"",$E20&lt;=R$5+6,$F20&gt;=R$5),"■","")</x:f>
      </x:c>
      <x:c r="S20" s="370" t="str">
        <x:f>IF(AND($E20&lt;&gt;"",$E20&lt;=S$5+6,$F20&gt;=S$5),"■","")</x:f>
      </x:c>
      <x:c r="T20" s="370" t="str">
        <x:f>IF(AND($E20&lt;&gt;"",$E20&lt;=T$5+6,$F20&gt;=T$5),"■","")</x:f>
      </x:c>
      <x:c r="U20" s="370" t="str">
        <x:f>IF(AND($E20&lt;&gt;"",$E20&lt;=U$5+6,$F20&gt;=U$5),"■","")</x:f>
      </x:c>
      <x:c r="V20" s="370" t="str">
        <x:f>IF(AND($E20&lt;&gt;"",$E20&lt;=V$5+6,$F20&gt;=V$5),"■","")</x:f>
      </x:c>
      <x:c r="W20" s="370" t="str">
        <x:f>IF(AND($E20&lt;&gt;"",$E20&lt;=W$5+6,$F20&gt;=W$5),"■","")</x:f>
      </x:c>
      <x:c r="X20" s="370" t="str">
        <x:f>IF(AND($E20&lt;&gt;"",$E20&lt;=X$5+6,$F20&gt;=X$5),"■","")</x:f>
      </x:c>
      <x:c r="Y20" s="370" t="str">
        <x:f>IF(AND($E20&lt;&gt;"",$E20&lt;=Y$5+6,$F20&gt;=Y$5),"■","")</x:f>
      </x:c>
      <x:c r="Z20" s="370" t="str">
        <x:f>IF(AND($E20&lt;&gt;"",$E20&lt;=Z$5+6,$F20&gt;=Z$5),"■","")</x:f>
      </x:c>
      <x:c r="AA20" s="370" t="str">
        <x:f>IF(AND($E20&lt;&gt;"",$E20&lt;=AA$5+6,$F20&gt;=AA$5),"■","")</x:f>
      </x:c>
      <x:c r="AB20" s="370" t="str">
        <x:f>IF(AND($E20&lt;&gt;"",$E20&lt;=AB$5+6,$F20&gt;=AB$5),"■","")</x:f>
      </x:c>
      <x:c r="AC20" s="370" t="str">
        <x:f>IF(AND($E20&lt;&gt;"",$E20&lt;=AC$5+6,$F20&gt;=AC$5),"■","")</x:f>
      </x:c>
      <x:c r="AD20" s="370" t="str">
        <x:f>IF(AND($E20&lt;&gt;"",$E20&lt;=AD$5+6,$F20&gt;=AD$5),"■","")</x:f>
      </x:c>
      <x:c r="AE20" s="370" t="str">
        <x:f>IF(AND($E20&lt;&gt;"",$E20&lt;=AE$5+6,$F20&gt;=AE$5),"■","")</x:f>
      </x:c>
      <x:c r="AF20" s="370" t="str">
        <x:f>IF(AND($E20&lt;&gt;"",$E20&lt;=AF$5+6,$F20&gt;=AF$5),"■","")</x:f>
      </x:c>
      <x:c r="AG20" s="370" t="str">
        <x:f>IF(AND($E20&lt;&gt;"",$E20&lt;=AG$5+6,$F20&gt;=AG$5),"■","")</x:f>
      </x:c>
      <x:c r="AH20" s="371" t="str">
        <x:f>IF(AND($E20&lt;&gt;"",$E20&lt;=AH$5+6,$F20&gt;=AH$5),"■","")</x:f>
      </x:c>
    </x:row>
    <x:row r="21" ht="38" customHeight="1">
      <x:c r="A21" s="466" t="str">
        <x:f>'作業計画'!A21</x:f>
        <x:v>00015</x:v>
      </x:c>
      <x:c r="B21" s="192" t="str">
        <x:f>'作業計画'!B21</x:f>
        <x:v>02.要件・設計</x:v>
      </x:c>
      <x:c r="C21" s="56" t="str">
        <x:f>'作業計画'!C21</x:f>
        <x:v>ワークスペース・Lakehouse権限設計</x:v>
      </x:c>
      <x:c r="D21" s="56" t="str">
        <x:f>'作業計画'!D21</x:f>
        <x:v>基盤担当（要確定）</x:v>
      </x:c>
      <x:c r="E21" s="346" t="n">
        <x:f>IF('作業計画'!O21="","",'作業計画'!O21)</x:f>
        <x:v>46332</x:v>
      </x:c>
      <x:c r="F21" s="346" t="n">
        <x:f>IF('作業計画'!P21="","",'作業計画'!P21)</x:f>
        <x:v>46335</x:v>
      </x:c>
      <x:c r="G21" s="354" t="n">
        <x:f>'作業計画'!U21</x:f>
        <x:v>0</x:v>
      </x:c>
      <x:c r="H21" s="56" t="str">
        <x:f>'作業計画'!V21</x:f>
        <x:v>予定前</x:v>
      </x:c>
      <x:c r="I21" s="372" t="str">
        <x:f>IF(AND($E21&lt;&gt;"",$E21&lt;=I$5+6,$F21&gt;=I$5),"■","")</x:f>
      </x:c>
      <x:c r="J21" s="372" t="str">
        <x:f>IF(AND($E21&lt;&gt;"",$E21&lt;=J$5+6,$F21&gt;=J$5),"■","")</x:f>
      </x:c>
      <x:c r="K21" s="372" t="str">
        <x:f>IF(AND($E21&lt;&gt;"",$E21&lt;=K$5+6,$F21&gt;=K$5),"■","")</x:f>
        <x:v>■</x:v>
      </x:c>
      <x:c r="L21" s="372" t="str">
        <x:f>IF(AND($E21&lt;&gt;"",$E21&lt;=L$5+6,$F21&gt;=L$5),"■","")</x:f>
        <x:v>■</x:v>
      </x:c>
      <x:c r="M21" s="372" t="str">
        <x:f>IF(AND($E21&lt;&gt;"",$E21&lt;=M$5+6,$F21&gt;=M$5),"■","")</x:f>
      </x:c>
      <x:c r="N21" s="372" t="str">
        <x:f>IF(AND($E21&lt;&gt;"",$E21&lt;=N$5+6,$F21&gt;=N$5),"■","")</x:f>
      </x:c>
      <x:c r="O21" s="372" t="str">
        <x:f>IF(AND($E21&lt;&gt;"",$E21&lt;=O$5+6,$F21&gt;=O$5),"■","")</x:f>
      </x:c>
      <x:c r="P21" s="372" t="str">
        <x:f>IF(AND($E21&lt;&gt;"",$E21&lt;=P$5+6,$F21&gt;=P$5),"■","")</x:f>
      </x:c>
      <x:c r="Q21" s="372" t="str">
        <x:f>IF(AND($E21&lt;&gt;"",$E21&lt;=Q$5+6,$F21&gt;=Q$5),"■","")</x:f>
      </x:c>
      <x:c r="R21" s="372" t="str">
        <x:f>IF(AND($E21&lt;&gt;"",$E21&lt;=R$5+6,$F21&gt;=R$5),"■","")</x:f>
      </x:c>
      <x:c r="S21" s="372" t="str">
        <x:f>IF(AND($E21&lt;&gt;"",$E21&lt;=S$5+6,$F21&gt;=S$5),"■","")</x:f>
      </x:c>
      <x:c r="T21" s="372" t="str">
        <x:f>IF(AND($E21&lt;&gt;"",$E21&lt;=T$5+6,$F21&gt;=T$5),"■","")</x:f>
      </x:c>
      <x:c r="U21" s="372" t="str">
        <x:f>IF(AND($E21&lt;&gt;"",$E21&lt;=U$5+6,$F21&gt;=U$5),"■","")</x:f>
      </x:c>
      <x:c r="V21" s="372" t="str">
        <x:f>IF(AND($E21&lt;&gt;"",$E21&lt;=V$5+6,$F21&gt;=V$5),"■","")</x:f>
      </x:c>
      <x:c r="W21" s="372" t="str">
        <x:f>IF(AND($E21&lt;&gt;"",$E21&lt;=W$5+6,$F21&gt;=W$5),"■","")</x:f>
      </x:c>
      <x:c r="X21" s="372" t="str">
        <x:f>IF(AND($E21&lt;&gt;"",$E21&lt;=X$5+6,$F21&gt;=X$5),"■","")</x:f>
      </x:c>
      <x:c r="Y21" s="372" t="str">
        <x:f>IF(AND($E21&lt;&gt;"",$E21&lt;=Y$5+6,$F21&gt;=Y$5),"■","")</x:f>
      </x:c>
      <x:c r="Z21" s="372" t="str">
        <x:f>IF(AND($E21&lt;&gt;"",$E21&lt;=Z$5+6,$F21&gt;=Z$5),"■","")</x:f>
      </x:c>
      <x:c r="AA21" s="372" t="str">
        <x:f>IF(AND($E21&lt;&gt;"",$E21&lt;=AA$5+6,$F21&gt;=AA$5),"■","")</x:f>
      </x:c>
      <x:c r="AB21" s="372" t="str">
        <x:f>IF(AND($E21&lt;&gt;"",$E21&lt;=AB$5+6,$F21&gt;=AB$5),"■","")</x:f>
      </x:c>
      <x:c r="AC21" s="372" t="str">
        <x:f>IF(AND($E21&lt;&gt;"",$E21&lt;=AC$5+6,$F21&gt;=AC$5),"■","")</x:f>
      </x:c>
      <x:c r="AD21" s="372" t="str">
        <x:f>IF(AND($E21&lt;&gt;"",$E21&lt;=AD$5+6,$F21&gt;=AD$5),"■","")</x:f>
      </x:c>
      <x:c r="AE21" s="372" t="str">
        <x:f>IF(AND($E21&lt;&gt;"",$E21&lt;=AE$5+6,$F21&gt;=AE$5),"■","")</x:f>
      </x:c>
      <x:c r="AF21" s="372" t="str">
        <x:f>IF(AND($E21&lt;&gt;"",$E21&lt;=AF$5+6,$F21&gt;=AF$5),"■","")</x:f>
      </x:c>
      <x:c r="AG21" s="372" t="str">
        <x:f>IF(AND($E21&lt;&gt;"",$E21&lt;=AG$5+6,$F21&gt;=AG$5),"■","")</x:f>
      </x:c>
      <x:c r="AH21" s="373" t="str">
        <x:f>IF(AND($E21&lt;&gt;"",$E21&lt;=AH$5+6,$F21&gt;=AH$5),"■","")</x:f>
      </x:c>
    </x:row>
    <x:row r="22" ht="38" customHeight="1">
      <x:c r="A22" s="465" t="str">
        <x:f>'作業計画'!A22</x:f>
        <x:v>00016</x:v>
      </x:c>
      <x:c r="B22" s="192" t="str">
        <x:f>'作業計画'!B22</x:f>
        <x:v>02.要件・設計</x:v>
      </x:c>
      <x:c r="C22" s="48" t="str">
        <x:f>'作業計画'!C22</x:f>
        <x:v>データ管理者・SharePoint管理・保存期間の整理</x:v>
      </x:c>
      <x:c r="D22" s="48" t="str">
        <x:f>'作業計画'!D22</x:f>
        <x:v>データ管理／運用担当（要確定）</x:v>
      </x:c>
      <x:c r="E22" s="345" t="n">
        <x:f>IF('作業計画'!O22="","",'作業計画'!O22)</x:f>
        <x:v>46332</x:v>
      </x:c>
      <x:c r="F22" s="345" t="n">
        <x:f>IF('作業計画'!P22="","",'作業計画'!P22)</x:f>
        <x:v>46335</x:v>
      </x:c>
      <x:c r="G22" s="353" t="n">
        <x:f>'作業計画'!U22</x:f>
        <x:v>0</x:v>
      </x:c>
      <x:c r="H22" s="48" t="str">
        <x:f>'作業計画'!V22</x:f>
        <x:v>予定前</x:v>
      </x:c>
      <x:c r="I22" s="370" t="str">
        <x:f>IF(AND($E22&lt;&gt;"",$E22&lt;=I$5+6,$F22&gt;=I$5),"■","")</x:f>
      </x:c>
      <x:c r="J22" s="370" t="str">
        <x:f>IF(AND($E22&lt;&gt;"",$E22&lt;=J$5+6,$F22&gt;=J$5),"■","")</x:f>
      </x:c>
      <x:c r="K22" s="370" t="str">
        <x:f>IF(AND($E22&lt;&gt;"",$E22&lt;=K$5+6,$F22&gt;=K$5),"■","")</x:f>
        <x:v>■</x:v>
      </x:c>
      <x:c r="L22" s="370" t="str">
        <x:f>IF(AND($E22&lt;&gt;"",$E22&lt;=L$5+6,$F22&gt;=L$5),"■","")</x:f>
        <x:v>■</x:v>
      </x:c>
      <x:c r="M22" s="370" t="str">
        <x:f>IF(AND($E22&lt;&gt;"",$E22&lt;=M$5+6,$F22&gt;=M$5),"■","")</x:f>
      </x:c>
      <x:c r="N22" s="370" t="str">
        <x:f>IF(AND($E22&lt;&gt;"",$E22&lt;=N$5+6,$F22&gt;=N$5),"■","")</x:f>
      </x:c>
      <x:c r="O22" s="370" t="str">
        <x:f>IF(AND($E22&lt;&gt;"",$E22&lt;=O$5+6,$F22&gt;=O$5),"■","")</x:f>
      </x:c>
      <x:c r="P22" s="370" t="str">
        <x:f>IF(AND($E22&lt;&gt;"",$E22&lt;=P$5+6,$F22&gt;=P$5),"■","")</x:f>
      </x:c>
      <x:c r="Q22" s="370" t="str">
        <x:f>IF(AND($E22&lt;&gt;"",$E22&lt;=Q$5+6,$F22&gt;=Q$5),"■","")</x:f>
      </x:c>
      <x:c r="R22" s="370" t="str">
        <x:f>IF(AND($E22&lt;&gt;"",$E22&lt;=R$5+6,$F22&gt;=R$5),"■","")</x:f>
      </x:c>
      <x:c r="S22" s="370" t="str">
        <x:f>IF(AND($E22&lt;&gt;"",$E22&lt;=S$5+6,$F22&gt;=S$5),"■","")</x:f>
      </x:c>
      <x:c r="T22" s="370" t="str">
        <x:f>IF(AND($E22&lt;&gt;"",$E22&lt;=T$5+6,$F22&gt;=T$5),"■","")</x:f>
      </x:c>
      <x:c r="U22" s="370" t="str">
        <x:f>IF(AND($E22&lt;&gt;"",$E22&lt;=U$5+6,$F22&gt;=U$5),"■","")</x:f>
      </x:c>
      <x:c r="V22" s="370" t="str">
        <x:f>IF(AND($E22&lt;&gt;"",$E22&lt;=V$5+6,$F22&gt;=V$5),"■","")</x:f>
      </x:c>
      <x:c r="W22" s="370" t="str">
        <x:f>IF(AND($E22&lt;&gt;"",$E22&lt;=W$5+6,$F22&gt;=W$5),"■","")</x:f>
      </x:c>
      <x:c r="X22" s="370" t="str">
        <x:f>IF(AND($E22&lt;&gt;"",$E22&lt;=X$5+6,$F22&gt;=X$5),"■","")</x:f>
      </x:c>
      <x:c r="Y22" s="370" t="str">
        <x:f>IF(AND($E22&lt;&gt;"",$E22&lt;=Y$5+6,$F22&gt;=Y$5),"■","")</x:f>
      </x:c>
      <x:c r="Z22" s="370" t="str">
        <x:f>IF(AND($E22&lt;&gt;"",$E22&lt;=Z$5+6,$F22&gt;=Z$5),"■","")</x:f>
      </x:c>
      <x:c r="AA22" s="370" t="str">
        <x:f>IF(AND($E22&lt;&gt;"",$E22&lt;=AA$5+6,$F22&gt;=AA$5),"■","")</x:f>
      </x:c>
      <x:c r="AB22" s="370" t="str">
        <x:f>IF(AND($E22&lt;&gt;"",$E22&lt;=AB$5+6,$F22&gt;=AB$5),"■","")</x:f>
      </x:c>
      <x:c r="AC22" s="370" t="str">
        <x:f>IF(AND($E22&lt;&gt;"",$E22&lt;=AC$5+6,$F22&gt;=AC$5),"■","")</x:f>
      </x:c>
      <x:c r="AD22" s="370" t="str">
        <x:f>IF(AND($E22&lt;&gt;"",$E22&lt;=AD$5+6,$F22&gt;=AD$5),"■","")</x:f>
      </x:c>
      <x:c r="AE22" s="370" t="str">
        <x:f>IF(AND($E22&lt;&gt;"",$E22&lt;=AE$5+6,$F22&gt;=AE$5),"■","")</x:f>
      </x:c>
      <x:c r="AF22" s="370" t="str">
        <x:f>IF(AND($E22&lt;&gt;"",$E22&lt;=AF$5+6,$F22&gt;=AF$5),"■","")</x:f>
      </x:c>
      <x:c r="AG22" s="370" t="str">
        <x:f>IF(AND($E22&lt;&gt;"",$E22&lt;=AG$5+6,$F22&gt;=AG$5),"■","")</x:f>
      </x:c>
      <x:c r="AH22" s="371" t="str">
        <x:f>IF(AND($E22&lt;&gt;"",$E22&lt;=AH$5+6,$F22&gt;=AH$5),"■","")</x:f>
      </x:c>
    </x:row>
    <x:row r="23" ht="38" customHeight="1">
      <x:c r="A23" s="466" t="str">
        <x:f>'作業計画'!A23</x:f>
        <x:v>00017</x:v>
      </x:c>
      <x:c r="B23" s="192" t="str">
        <x:f>'作業計画'!B23</x:f>
        <x:v>02.要件・設計</x:v>
      </x:c>
      <x:c r="C23" s="56" t="str">
        <x:f>'作業計画'!C23</x:f>
        <x:v>品質基準・データオーナーの確定</x:v>
      </x:c>
      <x:c r="D23" s="56" t="str">
        <x:f>'作業計画'!D23</x:f>
        <x:v>品質／業務担当（要確定）</x:v>
      </x:c>
      <x:c r="E23" s="346" t="n">
        <x:f>IF('作業計画'!O23="","",'作業計画'!O23)</x:f>
        <x:v>46336</x:v>
      </x:c>
      <x:c r="F23" s="346" t="n">
        <x:f>IF('作業計画'!P23="","",'作業計画'!P23)</x:f>
        <x:v>46337</x:v>
      </x:c>
      <x:c r="G23" s="354" t="n">
        <x:f>'作業計画'!U23</x:f>
        <x:v>0</x:v>
      </x:c>
      <x:c r="H23" s="56" t="str">
        <x:f>'作業計画'!V23</x:f>
        <x:v>予定前</x:v>
      </x:c>
      <x:c r="I23" s="372" t="str">
        <x:f>IF(AND($E23&lt;&gt;"",$E23&lt;=I$5+6,$F23&gt;=I$5),"■","")</x:f>
      </x:c>
      <x:c r="J23" s="372" t="str">
        <x:f>IF(AND($E23&lt;&gt;"",$E23&lt;=J$5+6,$F23&gt;=J$5),"■","")</x:f>
      </x:c>
      <x:c r="K23" s="372" t="str">
        <x:f>IF(AND($E23&lt;&gt;"",$E23&lt;=K$5+6,$F23&gt;=K$5),"■","")</x:f>
      </x:c>
      <x:c r="L23" s="372" t="str">
        <x:f>IF(AND($E23&lt;&gt;"",$E23&lt;=L$5+6,$F23&gt;=L$5),"■","")</x:f>
        <x:v>■</x:v>
      </x:c>
      <x:c r="M23" s="372" t="str">
        <x:f>IF(AND($E23&lt;&gt;"",$E23&lt;=M$5+6,$F23&gt;=M$5),"■","")</x:f>
      </x:c>
      <x:c r="N23" s="372" t="str">
        <x:f>IF(AND($E23&lt;&gt;"",$E23&lt;=N$5+6,$F23&gt;=N$5),"■","")</x:f>
      </x:c>
      <x:c r="O23" s="372" t="str">
        <x:f>IF(AND($E23&lt;&gt;"",$E23&lt;=O$5+6,$F23&gt;=O$5),"■","")</x:f>
      </x:c>
      <x:c r="P23" s="372" t="str">
        <x:f>IF(AND($E23&lt;&gt;"",$E23&lt;=P$5+6,$F23&gt;=P$5),"■","")</x:f>
      </x:c>
      <x:c r="Q23" s="372" t="str">
        <x:f>IF(AND($E23&lt;&gt;"",$E23&lt;=Q$5+6,$F23&gt;=Q$5),"■","")</x:f>
      </x:c>
      <x:c r="R23" s="372" t="str">
        <x:f>IF(AND($E23&lt;&gt;"",$E23&lt;=R$5+6,$F23&gt;=R$5),"■","")</x:f>
      </x:c>
      <x:c r="S23" s="372" t="str">
        <x:f>IF(AND($E23&lt;&gt;"",$E23&lt;=S$5+6,$F23&gt;=S$5),"■","")</x:f>
      </x:c>
      <x:c r="T23" s="372" t="str">
        <x:f>IF(AND($E23&lt;&gt;"",$E23&lt;=T$5+6,$F23&gt;=T$5),"■","")</x:f>
      </x:c>
      <x:c r="U23" s="372" t="str">
        <x:f>IF(AND($E23&lt;&gt;"",$E23&lt;=U$5+6,$F23&gt;=U$5),"■","")</x:f>
      </x:c>
      <x:c r="V23" s="372" t="str">
        <x:f>IF(AND($E23&lt;&gt;"",$E23&lt;=V$5+6,$F23&gt;=V$5),"■","")</x:f>
      </x:c>
      <x:c r="W23" s="372" t="str">
        <x:f>IF(AND($E23&lt;&gt;"",$E23&lt;=W$5+6,$F23&gt;=W$5),"■","")</x:f>
      </x:c>
      <x:c r="X23" s="372" t="str">
        <x:f>IF(AND($E23&lt;&gt;"",$E23&lt;=X$5+6,$F23&gt;=X$5),"■","")</x:f>
      </x:c>
      <x:c r="Y23" s="372" t="str">
        <x:f>IF(AND($E23&lt;&gt;"",$E23&lt;=Y$5+6,$F23&gt;=Y$5),"■","")</x:f>
      </x:c>
      <x:c r="Z23" s="372" t="str">
        <x:f>IF(AND($E23&lt;&gt;"",$E23&lt;=Z$5+6,$F23&gt;=Z$5),"■","")</x:f>
      </x:c>
      <x:c r="AA23" s="372" t="str">
        <x:f>IF(AND($E23&lt;&gt;"",$E23&lt;=AA$5+6,$F23&gt;=AA$5),"■","")</x:f>
      </x:c>
      <x:c r="AB23" s="372" t="str">
        <x:f>IF(AND($E23&lt;&gt;"",$E23&lt;=AB$5+6,$F23&gt;=AB$5),"■","")</x:f>
      </x:c>
      <x:c r="AC23" s="372" t="str">
        <x:f>IF(AND($E23&lt;&gt;"",$E23&lt;=AC$5+6,$F23&gt;=AC$5),"■","")</x:f>
      </x:c>
      <x:c r="AD23" s="372" t="str">
        <x:f>IF(AND($E23&lt;&gt;"",$E23&lt;=AD$5+6,$F23&gt;=AD$5),"■","")</x:f>
      </x:c>
      <x:c r="AE23" s="372" t="str">
        <x:f>IF(AND($E23&lt;&gt;"",$E23&lt;=AE$5+6,$F23&gt;=AE$5),"■","")</x:f>
      </x:c>
      <x:c r="AF23" s="372" t="str">
        <x:f>IF(AND($E23&lt;&gt;"",$E23&lt;=AF$5+6,$F23&gt;=AF$5),"■","")</x:f>
      </x:c>
      <x:c r="AG23" s="372" t="str">
        <x:f>IF(AND($E23&lt;&gt;"",$E23&lt;=AG$5+6,$F23&gt;=AG$5),"■","")</x:f>
      </x:c>
      <x:c r="AH23" s="373" t="str">
        <x:f>IF(AND($E23&lt;&gt;"",$E23&lt;=AH$5+6,$F23&gt;=AH$5),"■","")</x:f>
      </x:c>
    </x:row>
    <x:row r="24" ht="38" customHeight="1">
      <x:c r="A24" s="465" t="str">
        <x:f>'作業計画'!A24</x:f>
        <x:v>00018</x:v>
      </x:c>
      <x:c r="B24" s="192" t="str">
        <x:f>'作業計画'!B24</x:f>
        <x:v>02.要件・設計</x:v>
      </x:c>
      <x:c r="C24" s="48" t="str">
        <x:f>'作業計画'!C24</x:f>
        <x:v>テーブル・行・列の閲覧制御設計</x:v>
      </x:c>
      <x:c r="D24" s="48" t="str">
        <x:f>'作業計画'!D24</x:f>
        <x:v>基盤／セキュリティ担当（要確定）</x:v>
      </x:c>
      <x:c r="E24" s="345" t="n">
        <x:f>IF('作業計画'!O24="","",'作業計画'!O24)</x:f>
        <x:v>46336</x:v>
      </x:c>
      <x:c r="F24" s="345" t="n">
        <x:f>IF('作業計画'!P24="","",'作業計画'!P24)</x:f>
        <x:v>46337</x:v>
      </x:c>
      <x:c r="G24" s="353" t="n">
        <x:f>'作業計画'!U24</x:f>
        <x:v>0</x:v>
      </x:c>
      <x:c r="H24" s="48" t="str">
        <x:f>'作業計画'!V24</x:f>
        <x:v>予定前</x:v>
      </x:c>
      <x:c r="I24" s="370" t="str">
        <x:f>IF(AND($E24&lt;&gt;"",$E24&lt;=I$5+6,$F24&gt;=I$5),"■","")</x:f>
      </x:c>
      <x:c r="J24" s="370" t="str">
        <x:f>IF(AND($E24&lt;&gt;"",$E24&lt;=J$5+6,$F24&gt;=J$5),"■","")</x:f>
      </x:c>
      <x:c r="K24" s="370" t="str">
        <x:f>IF(AND($E24&lt;&gt;"",$E24&lt;=K$5+6,$F24&gt;=K$5),"■","")</x:f>
      </x:c>
      <x:c r="L24" s="370" t="str">
        <x:f>IF(AND($E24&lt;&gt;"",$E24&lt;=L$5+6,$F24&gt;=L$5),"■","")</x:f>
        <x:v>■</x:v>
      </x:c>
      <x:c r="M24" s="370" t="str">
        <x:f>IF(AND($E24&lt;&gt;"",$E24&lt;=M$5+6,$F24&gt;=M$5),"■","")</x:f>
      </x:c>
      <x:c r="N24" s="370" t="str">
        <x:f>IF(AND($E24&lt;&gt;"",$E24&lt;=N$5+6,$F24&gt;=N$5),"■","")</x:f>
      </x:c>
      <x:c r="O24" s="370" t="str">
        <x:f>IF(AND($E24&lt;&gt;"",$E24&lt;=O$5+6,$F24&gt;=O$5),"■","")</x:f>
      </x:c>
      <x:c r="P24" s="370" t="str">
        <x:f>IF(AND($E24&lt;&gt;"",$E24&lt;=P$5+6,$F24&gt;=P$5),"■","")</x:f>
      </x:c>
      <x:c r="Q24" s="370" t="str">
        <x:f>IF(AND($E24&lt;&gt;"",$E24&lt;=Q$5+6,$F24&gt;=Q$5),"■","")</x:f>
      </x:c>
      <x:c r="R24" s="370" t="str">
        <x:f>IF(AND($E24&lt;&gt;"",$E24&lt;=R$5+6,$F24&gt;=R$5),"■","")</x:f>
      </x:c>
      <x:c r="S24" s="370" t="str">
        <x:f>IF(AND($E24&lt;&gt;"",$E24&lt;=S$5+6,$F24&gt;=S$5),"■","")</x:f>
      </x:c>
      <x:c r="T24" s="370" t="str">
        <x:f>IF(AND($E24&lt;&gt;"",$E24&lt;=T$5+6,$F24&gt;=T$5),"■","")</x:f>
      </x:c>
      <x:c r="U24" s="370" t="str">
        <x:f>IF(AND($E24&lt;&gt;"",$E24&lt;=U$5+6,$F24&gt;=U$5),"■","")</x:f>
      </x:c>
      <x:c r="V24" s="370" t="str">
        <x:f>IF(AND($E24&lt;&gt;"",$E24&lt;=V$5+6,$F24&gt;=V$5),"■","")</x:f>
      </x:c>
      <x:c r="W24" s="370" t="str">
        <x:f>IF(AND($E24&lt;&gt;"",$E24&lt;=W$5+6,$F24&gt;=W$5),"■","")</x:f>
      </x:c>
      <x:c r="X24" s="370" t="str">
        <x:f>IF(AND($E24&lt;&gt;"",$E24&lt;=X$5+6,$F24&gt;=X$5),"■","")</x:f>
      </x:c>
      <x:c r="Y24" s="370" t="str">
        <x:f>IF(AND($E24&lt;&gt;"",$E24&lt;=Y$5+6,$F24&gt;=Y$5),"■","")</x:f>
      </x:c>
      <x:c r="Z24" s="370" t="str">
        <x:f>IF(AND($E24&lt;&gt;"",$E24&lt;=Z$5+6,$F24&gt;=Z$5),"■","")</x:f>
      </x:c>
      <x:c r="AA24" s="370" t="str">
        <x:f>IF(AND($E24&lt;&gt;"",$E24&lt;=AA$5+6,$F24&gt;=AA$5),"■","")</x:f>
      </x:c>
      <x:c r="AB24" s="370" t="str">
        <x:f>IF(AND($E24&lt;&gt;"",$E24&lt;=AB$5+6,$F24&gt;=AB$5),"■","")</x:f>
      </x:c>
      <x:c r="AC24" s="370" t="str">
        <x:f>IF(AND($E24&lt;&gt;"",$E24&lt;=AC$5+6,$F24&gt;=AC$5),"■","")</x:f>
      </x:c>
      <x:c r="AD24" s="370" t="str">
        <x:f>IF(AND($E24&lt;&gt;"",$E24&lt;=AD$5+6,$F24&gt;=AD$5),"■","")</x:f>
      </x:c>
      <x:c r="AE24" s="370" t="str">
        <x:f>IF(AND($E24&lt;&gt;"",$E24&lt;=AE$5+6,$F24&gt;=AE$5),"■","")</x:f>
      </x:c>
      <x:c r="AF24" s="370" t="str">
        <x:f>IF(AND($E24&lt;&gt;"",$E24&lt;=AF$5+6,$F24&gt;=AF$5),"■","")</x:f>
      </x:c>
      <x:c r="AG24" s="370" t="str">
        <x:f>IF(AND($E24&lt;&gt;"",$E24&lt;=AG$5+6,$F24&gt;=AG$5),"■","")</x:f>
      </x:c>
      <x:c r="AH24" s="371" t="str">
        <x:f>IF(AND($E24&lt;&gt;"",$E24&lt;=AH$5+6,$F24&gt;=AH$5),"■","")</x:f>
      </x:c>
    </x:row>
    <x:row r="25" ht="38" customHeight="1">
      <x:c r="A25" s="466" t="str">
        <x:f>'作業計画'!A25</x:f>
        <x:v>00019</x:v>
      </x:c>
      <x:c r="B25" s="192" t="str">
        <x:f>'作業計画'!B25</x:f>
        <x:v>02.要件・設計</x:v>
      </x:c>
      <x:c r="C25" s="56" t="str">
        <x:f>'作業計画'!C25</x:f>
        <x:v>Product：出力仕様・更新条件・SLAの確定</x:v>
      </x:c>
      <x:c r="D25" s="56" t="str">
        <x:f>'作業計画'!D25</x:f>
        <x:v>業務／設計担当（要確定）</x:v>
      </x:c>
      <x:c r="E25" s="346" t="n">
        <x:f>IF('作業計画'!O25="","",'作業計画'!O25)</x:f>
        <x:v>46338</x:v>
      </x:c>
      <x:c r="F25" s="346" t="n">
        <x:f>IF('作業計画'!P25="","",'作業計画'!P25)</x:f>
        <x:v>46342</x:v>
      </x:c>
      <x:c r="G25" s="354" t="n">
        <x:f>'作業計画'!U25</x:f>
        <x:v>0</x:v>
      </x:c>
      <x:c r="H25" s="56" t="str">
        <x:f>'作業計画'!V25</x:f>
        <x:v>予定前</x:v>
      </x:c>
      <x:c r="I25" s="372" t="str">
        <x:f>IF(AND($E25&lt;&gt;"",$E25&lt;=I$5+6,$F25&gt;=I$5),"■","")</x:f>
      </x:c>
      <x:c r="J25" s="372" t="str">
        <x:f>IF(AND($E25&lt;&gt;"",$E25&lt;=J$5+6,$F25&gt;=J$5),"■","")</x:f>
      </x:c>
      <x:c r="K25" s="372" t="str">
        <x:f>IF(AND($E25&lt;&gt;"",$E25&lt;=K$5+6,$F25&gt;=K$5),"■","")</x:f>
      </x:c>
      <x:c r="L25" s="372" t="str">
        <x:f>IF(AND($E25&lt;&gt;"",$E25&lt;=L$5+6,$F25&gt;=L$5),"■","")</x:f>
        <x:v>■</x:v>
      </x:c>
      <x:c r="M25" s="372" t="str">
        <x:f>IF(AND($E25&lt;&gt;"",$E25&lt;=M$5+6,$F25&gt;=M$5),"■","")</x:f>
        <x:v>■</x:v>
      </x:c>
      <x:c r="N25" s="372" t="str">
        <x:f>IF(AND($E25&lt;&gt;"",$E25&lt;=N$5+6,$F25&gt;=N$5),"■","")</x:f>
      </x:c>
      <x:c r="O25" s="372" t="str">
        <x:f>IF(AND($E25&lt;&gt;"",$E25&lt;=O$5+6,$F25&gt;=O$5),"■","")</x:f>
      </x:c>
      <x:c r="P25" s="372" t="str">
        <x:f>IF(AND($E25&lt;&gt;"",$E25&lt;=P$5+6,$F25&gt;=P$5),"■","")</x:f>
      </x:c>
      <x:c r="Q25" s="372" t="str">
        <x:f>IF(AND($E25&lt;&gt;"",$E25&lt;=Q$5+6,$F25&gt;=Q$5),"■","")</x:f>
      </x:c>
      <x:c r="R25" s="372" t="str">
        <x:f>IF(AND($E25&lt;&gt;"",$E25&lt;=R$5+6,$F25&gt;=R$5),"■","")</x:f>
      </x:c>
      <x:c r="S25" s="372" t="str">
        <x:f>IF(AND($E25&lt;&gt;"",$E25&lt;=S$5+6,$F25&gt;=S$5),"■","")</x:f>
      </x:c>
      <x:c r="T25" s="372" t="str">
        <x:f>IF(AND($E25&lt;&gt;"",$E25&lt;=T$5+6,$F25&gt;=T$5),"■","")</x:f>
      </x:c>
      <x:c r="U25" s="372" t="str">
        <x:f>IF(AND($E25&lt;&gt;"",$E25&lt;=U$5+6,$F25&gt;=U$5),"■","")</x:f>
      </x:c>
      <x:c r="V25" s="372" t="str">
        <x:f>IF(AND($E25&lt;&gt;"",$E25&lt;=V$5+6,$F25&gt;=V$5),"■","")</x:f>
      </x:c>
      <x:c r="W25" s="372" t="str">
        <x:f>IF(AND($E25&lt;&gt;"",$E25&lt;=W$5+6,$F25&gt;=W$5),"■","")</x:f>
      </x:c>
      <x:c r="X25" s="372" t="str">
        <x:f>IF(AND($E25&lt;&gt;"",$E25&lt;=X$5+6,$F25&gt;=X$5),"■","")</x:f>
      </x:c>
      <x:c r="Y25" s="372" t="str">
        <x:f>IF(AND($E25&lt;&gt;"",$E25&lt;=Y$5+6,$F25&gt;=Y$5),"■","")</x:f>
      </x:c>
      <x:c r="Z25" s="372" t="str">
        <x:f>IF(AND($E25&lt;&gt;"",$E25&lt;=Z$5+6,$F25&gt;=Z$5),"■","")</x:f>
      </x:c>
      <x:c r="AA25" s="372" t="str">
        <x:f>IF(AND($E25&lt;&gt;"",$E25&lt;=AA$5+6,$F25&gt;=AA$5),"■","")</x:f>
      </x:c>
      <x:c r="AB25" s="372" t="str">
        <x:f>IF(AND($E25&lt;&gt;"",$E25&lt;=AB$5+6,$F25&gt;=AB$5),"■","")</x:f>
      </x:c>
      <x:c r="AC25" s="372" t="str">
        <x:f>IF(AND($E25&lt;&gt;"",$E25&lt;=AC$5+6,$F25&gt;=AC$5),"■","")</x:f>
      </x:c>
      <x:c r="AD25" s="372" t="str">
        <x:f>IF(AND($E25&lt;&gt;"",$E25&lt;=AD$5+6,$F25&gt;=AD$5),"■","")</x:f>
      </x:c>
      <x:c r="AE25" s="372" t="str">
        <x:f>IF(AND($E25&lt;&gt;"",$E25&lt;=AE$5+6,$F25&gt;=AE$5),"■","")</x:f>
      </x:c>
      <x:c r="AF25" s="372" t="str">
        <x:f>IF(AND($E25&lt;&gt;"",$E25&lt;=AF$5+6,$F25&gt;=AF$5),"■","")</x:f>
      </x:c>
      <x:c r="AG25" s="372" t="str">
        <x:f>IF(AND($E25&lt;&gt;"",$E25&lt;=AG$5+6,$F25&gt;=AG$5),"■","")</x:f>
      </x:c>
      <x:c r="AH25" s="373" t="str">
        <x:f>IF(AND($E25&lt;&gt;"",$E25&lt;=AH$5+6,$F25&gt;=AH$5),"■","")</x:f>
      </x:c>
    </x:row>
    <x:row r="26" ht="38" customHeight="1">
      <x:c r="A26" s="465" t="str">
        <x:f>'作業計画'!A26</x:f>
        <x:v>00020</x:v>
      </x:c>
      <x:c r="B26" s="192" t="str">
        <x:f>'作業計画'!B26</x:f>
        <x:v>02.要件・設計</x:v>
      </x:c>
      <x:c r="C26" s="48" t="str">
        <x:f>'作業計画'!C26</x:f>
        <x:v>Contact：出力仕様・更新条件・SLAの確定</x:v>
      </x:c>
      <x:c r="D26" s="48" t="str">
        <x:f>'作業計画'!D26</x:f>
        <x:v>業務／設計担当（要確定）</x:v>
      </x:c>
      <x:c r="E26" s="345" t="n">
        <x:f>IF('作業計画'!O26="","",'作業計画'!O26)</x:f>
        <x:v>46338</x:v>
      </x:c>
      <x:c r="F26" s="345" t="n">
        <x:f>IF('作業計画'!P26="","",'作業計画'!P26)</x:f>
        <x:v>46342</x:v>
      </x:c>
      <x:c r="G26" s="353" t="n">
        <x:f>'作業計画'!U26</x:f>
        <x:v>0</x:v>
      </x:c>
      <x:c r="H26" s="48" t="str">
        <x:f>'作業計画'!V26</x:f>
        <x:v>予定前</x:v>
      </x:c>
      <x:c r="I26" s="370" t="str">
        <x:f>IF(AND($E26&lt;&gt;"",$E26&lt;=I$5+6,$F26&gt;=I$5),"■","")</x:f>
      </x:c>
      <x:c r="J26" s="370" t="str">
        <x:f>IF(AND($E26&lt;&gt;"",$E26&lt;=J$5+6,$F26&gt;=J$5),"■","")</x:f>
      </x:c>
      <x:c r="K26" s="370" t="str">
        <x:f>IF(AND($E26&lt;&gt;"",$E26&lt;=K$5+6,$F26&gt;=K$5),"■","")</x:f>
      </x:c>
      <x:c r="L26" s="370" t="str">
        <x:f>IF(AND($E26&lt;&gt;"",$E26&lt;=L$5+6,$F26&gt;=L$5),"■","")</x:f>
        <x:v>■</x:v>
      </x:c>
      <x:c r="M26" s="370" t="str">
        <x:f>IF(AND($E26&lt;&gt;"",$E26&lt;=M$5+6,$F26&gt;=M$5),"■","")</x:f>
        <x:v>■</x:v>
      </x:c>
      <x:c r="N26" s="370" t="str">
        <x:f>IF(AND($E26&lt;&gt;"",$E26&lt;=N$5+6,$F26&gt;=N$5),"■","")</x:f>
      </x:c>
      <x:c r="O26" s="370" t="str">
        <x:f>IF(AND($E26&lt;&gt;"",$E26&lt;=O$5+6,$F26&gt;=O$5),"■","")</x:f>
      </x:c>
      <x:c r="P26" s="370" t="str">
        <x:f>IF(AND($E26&lt;&gt;"",$E26&lt;=P$5+6,$F26&gt;=P$5),"■","")</x:f>
      </x:c>
      <x:c r="Q26" s="370" t="str">
        <x:f>IF(AND($E26&lt;&gt;"",$E26&lt;=Q$5+6,$F26&gt;=Q$5),"■","")</x:f>
      </x:c>
      <x:c r="R26" s="370" t="str">
        <x:f>IF(AND($E26&lt;&gt;"",$E26&lt;=R$5+6,$F26&gt;=R$5),"■","")</x:f>
      </x:c>
      <x:c r="S26" s="370" t="str">
        <x:f>IF(AND($E26&lt;&gt;"",$E26&lt;=S$5+6,$F26&gt;=S$5),"■","")</x:f>
      </x:c>
      <x:c r="T26" s="370" t="str">
        <x:f>IF(AND($E26&lt;&gt;"",$E26&lt;=T$5+6,$F26&gt;=T$5),"■","")</x:f>
      </x:c>
      <x:c r="U26" s="370" t="str">
        <x:f>IF(AND($E26&lt;&gt;"",$E26&lt;=U$5+6,$F26&gt;=U$5),"■","")</x:f>
      </x:c>
      <x:c r="V26" s="370" t="str">
        <x:f>IF(AND($E26&lt;&gt;"",$E26&lt;=V$5+6,$F26&gt;=V$5),"■","")</x:f>
      </x:c>
      <x:c r="W26" s="370" t="str">
        <x:f>IF(AND($E26&lt;&gt;"",$E26&lt;=W$5+6,$F26&gt;=W$5),"■","")</x:f>
      </x:c>
      <x:c r="X26" s="370" t="str">
        <x:f>IF(AND($E26&lt;&gt;"",$E26&lt;=X$5+6,$F26&gt;=X$5),"■","")</x:f>
      </x:c>
      <x:c r="Y26" s="370" t="str">
        <x:f>IF(AND($E26&lt;&gt;"",$E26&lt;=Y$5+6,$F26&gt;=Y$5),"■","")</x:f>
      </x:c>
      <x:c r="Z26" s="370" t="str">
        <x:f>IF(AND($E26&lt;&gt;"",$E26&lt;=Z$5+6,$F26&gt;=Z$5),"■","")</x:f>
      </x:c>
      <x:c r="AA26" s="370" t="str">
        <x:f>IF(AND($E26&lt;&gt;"",$E26&lt;=AA$5+6,$F26&gt;=AA$5),"■","")</x:f>
      </x:c>
      <x:c r="AB26" s="370" t="str">
        <x:f>IF(AND($E26&lt;&gt;"",$E26&lt;=AB$5+6,$F26&gt;=AB$5),"■","")</x:f>
      </x:c>
      <x:c r="AC26" s="370" t="str">
        <x:f>IF(AND($E26&lt;&gt;"",$E26&lt;=AC$5+6,$F26&gt;=AC$5),"■","")</x:f>
      </x:c>
      <x:c r="AD26" s="370" t="str">
        <x:f>IF(AND($E26&lt;&gt;"",$E26&lt;=AD$5+6,$F26&gt;=AD$5),"■","")</x:f>
      </x:c>
      <x:c r="AE26" s="370" t="str">
        <x:f>IF(AND($E26&lt;&gt;"",$E26&lt;=AE$5+6,$F26&gt;=AE$5),"■","")</x:f>
      </x:c>
      <x:c r="AF26" s="370" t="str">
        <x:f>IF(AND($E26&lt;&gt;"",$E26&lt;=AF$5+6,$F26&gt;=AF$5),"■","")</x:f>
      </x:c>
      <x:c r="AG26" s="370" t="str">
        <x:f>IF(AND($E26&lt;&gt;"",$E26&lt;=AG$5+6,$F26&gt;=AG$5),"■","")</x:f>
      </x:c>
      <x:c r="AH26" s="371" t="str">
        <x:f>IF(AND($E26&lt;&gt;"",$E26&lt;=AH$5+6,$F26&gt;=AH$5),"■","")</x:f>
      </x:c>
    </x:row>
    <x:row r="27" ht="38" customHeight="1">
      <x:c r="A27" s="466" t="str">
        <x:f>'作業計画'!A27</x:f>
        <x:v>00021</x:v>
      </x:c>
      <x:c r="B27" s="192" t="str">
        <x:f>'作業計画'!B27</x:f>
        <x:v>02.要件・設計</x:v>
      </x:c>
      <x:c r="C27" s="56" t="str">
        <x:f>'作業計画'!C27</x:f>
        <x:v>Account：出力仕様・更新条件・SLAの確定</x:v>
      </x:c>
      <x:c r="D27" s="56" t="str">
        <x:f>'作業計画'!D27</x:f>
        <x:v>業務／設計担当（要確定）</x:v>
      </x:c>
      <x:c r="E27" s="346" t="n">
        <x:f>IF('作業計画'!O27="","",'作業計画'!O27)</x:f>
        <x:v>46338</x:v>
      </x:c>
      <x:c r="F27" s="346" t="n">
        <x:f>IF('作業計画'!P27="","",'作業計画'!P27)</x:f>
        <x:v>46342</x:v>
      </x:c>
      <x:c r="G27" s="354" t="n">
        <x:f>'作業計画'!U27</x:f>
        <x:v>0</x:v>
      </x:c>
      <x:c r="H27" s="56" t="str">
        <x:f>'作業計画'!V27</x:f>
        <x:v>予定前</x:v>
      </x:c>
      <x:c r="I27" s="372" t="str">
        <x:f>IF(AND($E27&lt;&gt;"",$E27&lt;=I$5+6,$F27&gt;=I$5),"■","")</x:f>
      </x:c>
      <x:c r="J27" s="372" t="str">
        <x:f>IF(AND($E27&lt;&gt;"",$E27&lt;=J$5+6,$F27&gt;=J$5),"■","")</x:f>
      </x:c>
      <x:c r="K27" s="372" t="str">
        <x:f>IF(AND($E27&lt;&gt;"",$E27&lt;=K$5+6,$F27&gt;=K$5),"■","")</x:f>
      </x:c>
      <x:c r="L27" s="372" t="str">
        <x:f>IF(AND($E27&lt;&gt;"",$E27&lt;=L$5+6,$F27&gt;=L$5),"■","")</x:f>
        <x:v>■</x:v>
      </x:c>
      <x:c r="M27" s="372" t="str">
        <x:f>IF(AND($E27&lt;&gt;"",$E27&lt;=M$5+6,$F27&gt;=M$5),"■","")</x:f>
        <x:v>■</x:v>
      </x:c>
      <x:c r="N27" s="372" t="str">
        <x:f>IF(AND($E27&lt;&gt;"",$E27&lt;=N$5+6,$F27&gt;=N$5),"■","")</x:f>
      </x:c>
      <x:c r="O27" s="372" t="str">
        <x:f>IF(AND($E27&lt;&gt;"",$E27&lt;=O$5+6,$F27&gt;=O$5),"■","")</x:f>
      </x:c>
      <x:c r="P27" s="372" t="str">
        <x:f>IF(AND($E27&lt;&gt;"",$E27&lt;=P$5+6,$F27&gt;=P$5),"■","")</x:f>
      </x:c>
      <x:c r="Q27" s="372" t="str">
        <x:f>IF(AND($E27&lt;&gt;"",$E27&lt;=Q$5+6,$F27&gt;=Q$5),"■","")</x:f>
      </x:c>
      <x:c r="R27" s="372" t="str">
        <x:f>IF(AND($E27&lt;&gt;"",$E27&lt;=R$5+6,$F27&gt;=R$5),"■","")</x:f>
      </x:c>
      <x:c r="S27" s="372" t="str">
        <x:f>IF(AND($E27&lt;&gt;"",$E27&lt;=S$5+6,$F27&gt;=S$5),"■","")</x:f>
      </x:c>
      <x:c r="T27" s="372" t="str">
        <x:f>IF(AND($E27&lt;&gt;"",$E27&lt;=T$5+6,$F27&gt;=T$5),"■","")</x:f>
      </x:c>
      <x:c r="U27" s="372" t="str">
        <x:f>IF(AND($E27&lt;&gt;"",$E27&lt;=U$5+6,$F27&gt;=U$5),"■","")</x:f>
      </x:c>
      <x:c r="V27" s="372" t="str">
        <x:f>IF(AND($E27&lt;&gt;"",$E27&lt;=V$5+6,$F27&gt;=V$5),"■","")</x:f>
      </x:c>
      <x:c r="W27" s="372" t="str">
        <x:f>IF(AND($E27&lt;&gt;"",$E27&lt;=W$5+6,$F27&gt;=W$5),"■","")</x:f>
      </x:c>
      <x:c r="X27" s="372" t="str">
        <x:f>IF(AND($E27&lt;&gt;"",$E27&lt;=X$5+6,$F27&gt;=X$5),"■","")</x:f>
      </x:c>
      <x:c r="Y27" s="372" t="str">
        <x:f>IF(AND($E27&lt;&gt;"",$E27&lt;=Y$5+6,$F27&gt;=Y$5),"■","")</x:f>
      </x:c>
      <x:c r="Z27" s="372" t="str">
        <x:f>IF(AND($E27&lt;&gt;"",$E27&lt;=Z$5+6,$F27&gt;=Z$5),"■","")</x:f>
      </x:c>
      <x:c r="AA27" s="372" t="str">
        <x:f>IF(AND($E27&lt;&gt;"",$E27&lt;=AA$5+6,$F27&gt;=AA$5),"■","")</x:f>
      </x:c>
      <x:c r="AB27" s="372" t="str">
        <x:f>IF(AND($E27&lt;&gt;"",$E27&lt;=AB$5+6,$F27&gt;=AB$5),"■","")</x:f>
      </x:c>
      <x:c r="AC27" s="372" t="str">
        <x:f>IF(AND($E27&lt;&gt;"",$E27&lt;=AC$5+6,$F27&gt;=AC$5),"■","")</x:f>
      </x:c>
      <x:c r="AD27" s="372" t="str">
        <x:f>IF(AND($E27&lt;&gt;"",$E27&lt;=AD$5+6,$F27&gt;=AD$5),"■","")</x:f>
      </x:c>
      <x:c r="AE27" s="372" t="str">
        <x:f>IF(AND($E27&lt;&gt;"",$E27&lt;=AE$5+6,$F27&gt;=AE$5),"■","")</x:f>
      </x:c>
      <x:c r="AF27" s="372" t="str">
        <x:f>IF(AND($E27&lt;&gt;"",$E27&lt;=AF$5+6,$F27&gt;=AF$5),"■","")</x:f>
      </x:c>
      <x:c r="AG27" s="372" t="str">
        <x:f>IF(AND($E27&lt;&gt;"",$E27&lt;=AG$5+6,$F27&gt;=AG$5),"■","")</x:f>
      </x:c>
      <x:c r="AH27" s="373" t="str">
        <x:f>IF(AND($E27&lt;&gt;"",$E27&lt;=AH$5+6,$F27&gt;=AH$5),"■","")</x:f>
      </x:c>
    </x:row>
    <x:row r="28" ht="38" customHeight="1">
      <x:c r="A28" s="465" t="str">
        <x:f>'作業計画'!A28</x:f>
        <x:v>00022</x:v>
      </x:c>
      <x:c r="B28" s="192" t="str">
        <x:f>'作業計画'!B28</x:f>
        <x:v>02.要件・設計</x:v>
      </x:c>
      <x:c r="C28" s="48" t="str">
        <x:f>'作業計画'!C28</x:f>
        <x:v>AccountContact：出力仕様・更新条件・SLAの確定</x:v>
      </x:c>
      <x:c r="D28" s="48" t="str">
        <x:f>'作業計画'!D28</x:f>
        <x:v>業務／設計担当（要確定）</x:v>
      </x:c>
      <x:c r="E28" s="345" t="n">
        <x:f>IF('作業計画'!O28="","",'作業計画'!O28)</x:f>
        <x:v>46338</x:v>
      </x:c>
      <x:c r="F28" s="345" t="n">
        <x:f>IF('作業計画'!P28="","",'作業計画'!P28)</x:f>
        <x:v>46342</x:v>
      </x:c>
      <x:c r="G28" s="353" t="n">
        <x:f>'作業計画'!U28</x:f>
        <x:v>0</x:v>
      </x:c>
      <x:c r="H28" s="48" t="str">
        <x:f>'作業計画'!V28</x:f>
        <x:v>予定前</x:v>
      </x:c>
      <x:c r="I28" s="370" t="str">
        <x:f>IF(AND($E28&lt;&gt;"",$E28&lt;=I$5+6,$F28&gt;=I$5),"■","")</x:f>
      </x:c>
      <x:c r="J28" s="370" t="str">
        <x:f>IF(AND($E28&lt;&gt;"",$E28&lt;=J$5+6,$F28&gt;=J$5),"■","")</x:f>
      </x:c>
      <x:c r="K28" s="370" t="str">
        <x:f>IF(AND($E28&lt;&gt;"",$E28&lt;=K$5+6,$F28&gt;=K$5),"■","")</x:f>
      </x:c>
      <x:c r="L28" s="370" t="str">
        <x:f>IF(AND($E28&lt;&gt;"",$E28&lt;=L$5+6,$F28&gt;=L$5),"■","")</x:f>
        <x:v>■</x:v>
      </x:c>
      <x:c r="M28" s="370" t="str">
        <x:f>IF(AND($E28&lt;&gt;"",$E28&lt;=M$5+6,$F28&gt;=M$5),"■","")</x:f>
        <x:v>■</x:v>
      </x:c>
      <x:c r="N28" s="370" t="str">
        <x:f>IF(AND($E28&lt;&gt;"",$E28&lt;=N$5+6,$F28&gt;=N$5),"■","")</x:f>
      </x:c>
      <x:c r="O28" s="370" t="str">
        <x:f>IF(AND($E28&lt;&gt;"",$E28&lt;=O$5+6,$F28&gt;=O$5),"■","")</x:f>
      </x:c>
      <x:c r="P28" s="370" t="str">
        <x:f>IF(AND($E28&lt;&gt;"",$E28&lt;=P$5+6,$F28&gt;=P$5),"■","")</x:f>
      </x:c>
      <x:c r="Q28" s="370" t="str">
        <x:f>IF(AND($E28&lt;&gt;"",$E28&lt;=Q$5+6,$F28&gt;=Q$5),"■","")</x:f>
      </x:c>
      <x:c r="R28" s="370" t="str">
        <x:f>IF(AND($E28&lt;&gt;"",$E28&lt;=R$5+6,$F28&gt;=R$5),"■","")</x:f>
      </x:c>
      <x:c r="S28" s="370" t="str">
        <x:f>IF(AND($E28&lt;&gt;"",$E28&lt;=S$5+6,$F28&gt;=S$5),"■","")</x:f>
      </x:c>
      <x:c r="T28" s="370" t="str">
        <x:f>IF(AND($E28&lt;&gt;"",$E28&lt;=T$5+6,$F28&gt;=T$5),"■","")</x:f>
      </x:c>
      <x:c r="U28" s="370" t="str">
        <x:f>IF(AND($E28&lt;&gt;"",$E28&lt;=U$5+6,$F28&gt;=U$5),"■","")</x:f>
      </x:c>
      <x:c r="V28" s="370" t="str">
        <x:f>IF(AND($E28&lt;&gt;"",$E28&lt;=V$5+6,$F28&gt;=V$5),"■","")</x:f>
      </x:c>
      <x:c r="W28" s="370" t="str">
        <x:f>IF(AND($E28&lt;&gt;"",$E28&lt;=W$5+6,$F28&gt;=W$5),"■","")</x:f>
      </x:c>
      <x:c r="X28" s="370" t="str">
        <x:f>IF(AND($E28&lt;&gt;"",$E28&lt;=X$5+6,$F28&gt;=X$5),"■","")</x:f>
      </x:c>
      <x:c r="Y28" s="370" t="str">
        <x:f>IF(AND($E28&lt;&gt;"",$E28&lt;=Y$5+6,$F28&gt;=Y$5),"■","")</x:f>
      </x:c>
      <x:c r="Z28" s="370" t="str">
        <x:f>IF(AND($E28&lt;&gt;"",$E28&lt;=Z$5+6,$F28&gt;=Z$5),"■","")</x:f>
      </x:c>
      <x:c r="AA28" s="370" t="str">
        <x:f>IF(AND($E28&lt;&gt;"",$E28&lt;=AA$5+6,$F28&gt;=AA$5),"■","")</x:f>
      </x:c>
      <x:c r="AB28" s="370" t="str">
        <x:f>IF(AND($E28&lt;&gt;"",$E28&lt;=AB$5+6,$F28&gt;=AB$5),"■","")</x:f>
      </x:c>
      <x:c r="AC28" s="370" t="str">
        <x:f>IF(AND($E28&lt;&gt;"",$E28&lt;=AC$5+6,$F28&gt;=AC$5),"■","")</x:f>
      </x:c>
      <x:c r="AD28" s="370" t="str">
        <x:f>IF(AND($E28&lt;&gt;"",$E28&lt;=AD$5+6,$F28&gt;=AD$5),"■","")</x:f>
      </x:c>
      <x:c r="AE28" s="370" t="str">
        <x:f>IF(AND($E28&lt;&gt;"",$E28&lt;=AE$5+6,$F28&gt;=AE$5),"■","")</x:f>
      </x:c>
      <x:c r="AF28" s="370" t="str">
        <x:f>IF(AND($E28&lt;&gt;"",$E28&lt;=AF$5+6,$F28&gt;=AF$5),"■","")</x:f>
      </x:c>
      <x:c r="AG28" s="370" t="str">
        <x:f>IF(AND($E28&lt;&gt;"",$E28&lt;=AG$5+6,$F28&gt;=AG$5),"■","")</x:f>
      </x:c>
      <x:c r="AH28" s="371" t="str">
        <x:f>IF(AND($E28&lt;&gt;"",$E28&lt;=AH$5+6,$F28&gt;=AH$5),"■","")</x:f>
      </x:c>
    </x:row>
    <x:row r="29" ht="38" customHeight="1">
      <x:c r="A29" s="466" t="str">
        <x:f>'作業計画'!A29</x:f>
        <x:v>00023</x:v>
      </x:c>
      <x:c r="B29" s="192" t="str">
        <x:f>'作業計画'!B29</x:f>
        <x:v>02.要件・設計</x:v>
      </x:c>
      <x:c r="C29" s="56" t="str">
        <x:f>'作業計画'!C29</x:f>
        <x:v>SalesRepHospital：出力仕様・更新条件・SLAの確定</x:v>
      </x:c>
      <x:c r="D29" s="56" t="str">
        <x:f>'作業計画'!D29</x:f>
        <x:v>業務／設計担当（要確定）</x:v>
      </x:c>
      <x:c r="E29" s="346" t="n">
        <x:f>IF('作業計画'!O29="","",'作業計画'!O29)</x:f>
        <x:v>46338</x:v>
      </x:c>
      <x:c r="F29" s="346" t="n">
        <x:f>IF('作業計画'!P29="","",'作業計画'!P29)</x:f>
        <x:v>46342</x:v>
      </x:c>
      <x:c r="G29" s="354" t="n">
        <x:f>'作業計画'!U29</x:f>
        <x:v>0</x:v>
      </x:c>
      <x:c r="H29" s="56" t="str">
        <x:f>'作業計画'!V29</x:f>
        <x:v>予定前</x:v>
      </x:c>
      <x:c r="I29" s="372" t="str">
        <x:f>IF(AND($E29&lt;&gt;"",$E29&lt;=I$5+6,$F29&gt;=I$5),"■","")</x:f>
      </x:c>
      <x:c r="J29" s="372" t="str">
        <x:f>IF(AND($E29&lt;&gt;"",$E29&lt;=J$5+6,$F29&gt;=J$5),"■","")</x:f>
      </x:c>
      <x:c r="K29" s="372" t="str">
        <x:f>IF(AND($E29&lt;&gt;"",$E29&lt;=K$5+6,$F29&gt;=K$5),"■","")</x:f>
      </x:c>
      <x:c r="L29" s="372" t="str">
        <x:f>IF(AND($E29&lt;&gt;"",$E29&lt;=L$5+6,$F29&gt;=L$5),"■","")</x:f>
        <x:v>■</x:v>
      </x:c>
      <x:c r="M29" s="372" t="str">
        <x:f>IF(AND($E29&lt;&gt;"",$E29&lt;=M$5+6,$F29&gt;=M$5),"■","")</x:f>
        <x:v>■</x:v>
      </x:c>
      <x:c r="N29" s="372" t="str">
        <x:f>IF(AND($E29&lt;&gt;"",$E29&lt;=N$5+6,$F29&gt;=N$5),"■","")</x:f>
      </x:c>
      <x:c r="O29" s="372" t="str">
        <x:f>IF(AND($E29&lt;&gt;"",$E29&lt;=O$5+6,$F29&gt;=O$5),"■","")</x:f>
      </x:c>
      <x:c r="P29" s="372" t="str">
        <x:f>IF(AND($E29&lt;&gt;"",$E29&lt;=P$5+6,$F29&gt;=P$5),"■","")</x:f>
      </x:c>
      <x:c r="Q29" s="372" t="str">
        <x:f>IF(AND($E29&lt;&gt;"",$E29&lt;=Q$5+6,$F29&gt;=Q$5),"■","")</x:f>
      </x:c>
      <x:c r="R29" s="372" t="str">
        <x:f>IF(AND($E29&lt;&gt;"",$E29&lt;=R$5+6,$F29&gt;=R$5),"■","")</x:f>
      </x:c>
      <x:c r="S29" s="372" t="str">
        <x:f>IF(AND($E29&lt;&gt;"",$E29&lt;=S$5+6,$F29&gt;=S$5),"■","")</x:f>
      </x:c>
      <x:c r="T29" s="372" t="str">
        <x:f>IF(AND($E29&lt;&gt;"",$E29&lt;=T$5+6,$F29&gt;=T$5),"■","")</x:f>
      </x:c>
      <x:c r="U29" s="372" t="str">
        <x:f>IF(AND($E29&lt;&gt;"",$E29&lt;=U$5+6,$F29&gt;=U$5),"■","")</x:f>
      </x:c>
      <x:c r="V29" s="372" t="str">
        <x:f>IF(AND($E29&lt;&gt;"",$E29&lt;=V$5+6,$F29&gt;=V$5),"■","")</x:f>
      </x:c>
      <x:c r="W29" s="372" t="str">
        <x:f>IF(AND($E29&lt;&gt;"",$E29&lt;=W$5+6,$F29&gt;=W$5),"■","")</x:f>
      </x:c>
      <x:c r="X29" s="372" t="str">
        <x:f>IF(AND($E29&lt;&gt;"",$E29&lt;=X$5+6,$F29&gt;=X$5),"■","")</x:f>
      </x:c>
      <x:c r="Y29" s="372" t="str">
        <x:f>IF(AND($E29&lt;&gt;"",$E29&lt;=Y$5+6,$F29&gt;=Y$5),"■","")</x:f>
      </x:c>
      <x:c r="Z29" s="372" t="str">
        <x:f>IF(AND($E29&lt;&gt;"",$E29&lt;=Z$5+6,$F29&gt;=Z$5),"■","")</x:f>
      </x:c>
      <x:c r="AA29" s="372" t="str">
        <x:f>IF(AND($E29&lt;&gt;"",$E29&lt;=AA$5+6,$F29&gt;=AA$5),"■","")</x:f>
      </x:c>
      <x:c r="AB29" s="372" t="str">
        <x:f>IF(AND($E29&lt;&gt;"",$E29&lt;=AB$5+6,$F29&gt;=AB$5),"■","")</x:f>
      </x:c>
      <x:c r="AC29" s="372" t="str">
        <x:f>IF(AND($E29&lt;&gt;"",$E29&lt;=AC$5+6,$F29&gt;=AC$5),"■","")</x:f>
      </x:c>
      <x:c r="AD29" s="372" t="str">
        <x:f>IF(AND($E29&lt;&gt;"",$E29&lt;=AD$5+6,$F29&gt;=AD$5),"■","")</x:f>
      </x:c>
      <x:c r="AE29" s="372" t="str">
        <x:f>IF(AND($E29&lt;&gt;"",$E29&lt;=AE$5+6,$F29&gt;=AE$5),"■","")</x:f>
      </x:c>
      <x:c r="AF29" s="372" t="str">
        <x:f>IF(AND($E29&lt;&gt;"",$E29&lt;=AF$5+6,$F29&gt;=AF$5),"■","")</x:f>
      </x:c>
      <x:c r="AG29" s="372" t="str">
        <x:f>IF(AND($E29&lt;&gt;"",$E29&lt;=AG$5+6,$F29&gt;=AG$5),"■","")</x:f>
      </x:c>
      <x:c r="AH29" s="373" t="str">
        <x:f>IF(AND($E29&lt;&gt;"",$E29&lt;=AH$5+6,$F29&gt;=AH$5),"■","")</x:f>
      </x:c>
    </x:row>
    <x:row r="30" ht="38" customHeight="1">
      <x:c r="A30" s="465" t="str">
        <x:f>'作業計画'!A30</x:f>
        <x:v>00024</x:v>
      </x:c>
      <x:c r="B30" s="194" t="str">
        <x:f>'作業計画'!B30</x:f>
        <x:v>03.事前検証</x:v>
      </x:c>
      <x:c r="C30" s="48" t="str">
        <x:f>'作業計画'!C30</x:f>
        <x:v>DEVワークスペース作成・検証権限付与</x:v>
      </x:c>
      <x:c r="D30" s="48" t="str">
        <x:f>'作業計画'!D30</x:f>
        <x:v>基盤担当（要確定）</x:v>
      </x:c>
      <x:c r="E30" s="345" t="n">
        <x:f>IF('作業計画'!O30="","",'作業計画'!O30)</x:f>
        <x:v>46338</x:v>
      </x:c>
      <x:c r="F30" s="345" t="n">
        <x:f>IF('作業計画'!P30="","",'作業計画'!P30)</x:f>
        <x:v>46339</x:v>
      </x:c>
      <x:c r="G30" s="353" t="n">
        <x:f>'作業計画'!U30</x:f>
        <x:v>0</x:v>
      </x:c>
      <x:c r="H30" s="48" t="str">
        <x:f>'作業計画'!V30</x:f>
        <x:v>予定前</x:v>
      </x:c>
      <x:c r="I30" s="370" t="str">
        <x:f>IF(AND($E30&lt;&gt;"",$E30&lt;=I$5+6,$F30&gt;=I$5),"■","")</x:f>
      </x:c>
      <x:c r="J30" s="370" t="str">
        <x:f>IF(AND($E30&lt;&gt;"",$E30&lt;=J$5+6,$F30&gt;=J$5),"■","")</x:f>
      </x:c>
      <x:c r="K30" s="370" t="str">
        <x:f>IF(AND($E30&lt;&gt;"",$E30&lt;=K$5+6,$F30&gt;=K$5),"■","")</x:f>
      </x:c>
      <x:c r="L30" s="370" t="str">
        <x:f>IF(AND($E30&lt;&gt;"",$E30&lt;=L$5+6,$F30&gt;=L$5),"■","")</x:f>
        <x:v>■</x:v>
      </x:c>
      <x:c r="M30" s="370" t="str">
        <x:f>IF(AND($E30&lt;&gt;"",$E30&lt;=M$5+6,$F30&gt;=M$5),"■","")</x:f>
      </x:c>
      <x:c r="N30" s="370" t="str">
        <x:f>IF(AND($E30&lt;&gt;"",$E30&lt;=N$5+6,$F30&gt;=N$5),"■","")</x:f>
      </x:c>
      <x:c r="O30" s="370" t="str">
        <x:f>IF(AND($E30&lt;&gt;"",$E30&lt;=O$5+6,$F30&gt;=O$5),"■","")</x:f>
      </x:c>
      <x:c r="P30" s="370" t="str">
        <x:f>IF(AND($E30&lt;&gt;"",$E30&lt;=P$5+6,$F30&gt;=P$5),"■","")</x:f>
      </x:c>
      <x:c r="Q30" s="370" t="str">
        <x:f>IF(AND($E30&lt;&gt;"",$E30&lt;=Q$5+6,$F30&gt;=Q$5),"■","")</x:f>
      </x:c>
      <x:c r="R30" s="370" t="str">
        <x:f>IF(AND($E30&lt;&gt;"",$E30&lt;=R$5+6,$F30&gt;=R$5),"■","")</x:f>
      </x:c>
      <x:c r="S30" s="370" t="str">
        <x:f>IF(AND($E30&lt;&gt;"",$E30&lt;=S$5+6,$F30&gt;=S$5),"■","")</x:f>
      </x:c>
      <x:c r="T30" s="370" t="str">
        <x:f>IF(AND($E30&lt;&gt;"",$E30&lt;=T$5+6,$F30&gt;=T$5),"■","")</x:f>
      </x:c>
      <x:c r="U30" s="370" t="str">
        <x:f>IF(AND($E30&lt;&gt;"",$E30&lt;=U$5+6,$F30&gt;=U$5),"■","")</x:f>
      </x:c>
      <x:c r="V30" s="370" t="str">
        <x:f>IF(AND($E30&lt;&gt;"",$E30&lt;=V$5+6,$F30&gt;=V$5),"■","")</x:f>
      </x:c>
      <x:c r="W30" s="370" t="str">
        <x:f>IF(AND($E30&lt;&gt;"",$E30&lt;=W$5+6,$F30&gt;=W$5),"■","")</x:f>
      </x:c>
      <x:c r="X30" s="370" t="str">
        <x:f>IF(AND($E30&lt;&gt;"",$E30&lt;=X$5+6,$F30&gt;=X$5),"■","")</x:f>
      </x:c>
      <x:c r="Y30" s="370" t="str">
        <x:f>IF(AND($E30&lt;&gt;"",$E30&lt;=Y$5+6,$F30&gt;=Y$5),"■","")</x:f>
      </x:c>
      <x:c r="Z30" s="370" t="str">
        <x:f>IF(AND($E30&lt;&gt;"",$E30&lt;=Z$5+6,$F30&gt;=Z$5),"■","")</x:f>
      </x:c>
      <x:c r="AA30" s="370" t="str">
        <x:f>IF(AND($E30&lt;&gt;"",$E30&lt;=AA$5+6,$F30&gt;=AA$5),"■","")</x:f>
      </x:c>
      <x:c r="AB30" s="370" t="str">
        <x:f>IF(AND($E30&lt;&gt;"",$E30&lt;=AB$5+6,$F30&gt;=AB$5),"■","")</x:f>
      </x:c>
      <x:c r="AC30" s="370" t="str">
        <x:f>IF(AND($E30&lt;&gt;"",$E30&lt;=AC$5+6,$F30&gt;=AC$5),"■","")</x:f>
      </x:c>
      <x:c r="AD30" s="370" t="str">
        <x:f>IF(AND($E30&lt;&gt;"",$E30&lt;=AD$5+6,$F30&gt;=AD$5),"■","")</x:f>
      </x:c>
      <x:c r="AE30" s="370" t="str">
        <x:f>IF(AND($E30&lt;&gt;"",$E30&lt;=AE$5+6,$F30&gt;=AE$5),"■","")</x:f>
      </x:c>
      <x:c r="AF30" s="370" t="str">
        <x:f>IF(AND($E30&lt;&gt;"",$E30&lt;=AF$5+6,$F30&gt;=AF$5),"■","")</x:f>
      </x:c>
      <x:c r="AG30" s="370" t="str">
        <x:f>IF(AND($E30&lt;&gt;"",$E30&lt;=AG$5+6,$F30&gt;=AG$5),"■","")</x:f>
      </x:c>
      <x:c r="AH30" s="371" t="str">
        <x:f>IF(AND($E30&lt;&gt;"",$E30&lt;=AH$5+6,$F30&gt;=AH$5),"■","")</x:f>
      </x:c>
    </x:row>
    <x:row r="31" ht="38" customHeight="1">
      <x:c r="A31" s="466" t="str">
        <x:f>'作業計画'!A31</x:f>
        <x:v>00025</x:v>
      </x:c>
      <x:c r="B31" s="194" t="str">
        <x:f>'作業計画'!B31</x:f>
        <x:v>03.事前検証</x:v>
      </x:c>
      <x:c r="C31" s="56" t="str">
        <x:f>'作業計画'!C31</x:f>
        <x:v>OneForceの既存Silverデータ・必要列を確認</x:v>
      </x:c>
      <x:c r="D31" s="56" t="str">
        <x:f>'作業計画'!D31</x:f>
        <x:v>データソース担当（要確定）</x:v>
      </x:c>
      <x:c r="E31" s="346" t="n">
        <x:f>IF('作業計画'!O31="","",'作業計画'!O31)</x:f>
        <x:v>46342</x:v>
      </x:c>
      <x:c r="F31" s="346" t="n">
        <x:f>IF('作業計画'!P31="","",'作業計画'!P31)</x:f>
        <x:v>46343</x:v>
      </x:c>
      <x:c r="G31" s="354" t="n">
        <x:f>'作業計画'!U31</x:f>
        <x:v>0</x:v>
      </x:c>
      <x:c r="H31" s="56" t="str">
        <x:f>'作業計画'!V31</x:f>
        <x:v>予定前</x:v>
      </x:c>
      <x:c r="I31" s="372" t="str">
        <x:f>IF(AND($E31&lt;&gt;"",$E31&lt;=I$5+6,$F31&gt;=I$5),"■","")</x:f>
      </x:c>
      <x:c r="J31" s="372" t="str">
        <x:f>IF(AND($E31&lt;&gt;"",$E31&lt;=J$5+6,$F31&gt;=J$5),"■","")</x:f>
      </x:c>
      <x:c r="K31" s="372" t="str">
        <x:f>IF(AND($E31&lt;&gt;"",$E31&lt;=K$5+6,$F31&gt;=K$5),"■","")</x:f>
      </x:c>
      <x:c r="L31" s="372" t="str">
        <x:f>IF(AND($E31&lt;&gt;"",$E31&lt;=L$5+6,$F31&gt;=L$5),"■","")</x:f>
      </x:c>
      <x:c r="M31" s="372" t="str">
        <x:f>IF(AND($E31&lt;&gt;"",$E31&lt;=M$5+6,$F31&gt;=M$5),"■","")</x:f>
        <x:v>■</x:v>
      </x:c>
      <x:c r="N31" s="372" t="str">
        <x:f>IF(AND($E31&lt;&gt;"",$E31&lt;=N$5+6,$F31&gt;=N$5),"■","")</x:f>
      </x:c>
      <x:c r="O31" s="372" t="str">
        <x:f>IF(AND($E31&lt;&gt;"",$E31&lt;=O$5+6,$F31&gt;=O$5),"■","")</x:f>
      </x:c>
      <x:c r="P31" s="372" t="str">
        <x:f>IF(AND($E31&lt;&gt;"",$E31&lt;=P$5+6,$F31&gt;=P$5),"■","")</x:f>
      </x:c>
      <x:c r="Q31" s="372" t="str">
        <x:f>IF(AND($E31&lt;&gt;"",$E31&lt;=Q$5+6,$F31&gt;=Q$5),"■","")</x:f>
      </x:c>
      <x:c r="R31" s="372" t="str">
        <x:f>IF(AND($E31&lt;&gt;"",$E31&lt;=R$5+6,$F31&gt;=R$5),"■","")</x:f>
      </x:c>
      <x:c r="S31" s="372" t="str">
        <x:f>IF(AND($E31&lt;&gt;"",$E31&lt;=S$5+6,$F31&gt;=S$5),"■","")</x:f>
      </x:c>
      <x:c r="T31" s="372" t="str">
        <x:f>IF(AND($E31&lt;&gt;"",$E31&lt;=T$5+6,$F31&gt;=T$5),"■","")</x:f>
      </x:c>
      <x:c r="U31" s="372" t="str">
        <x:f>IF(AND($E31&lt;&gt;"",$E31&lt;=U$5+6,$F31&gt;=U$5),"■","")</x:f>
      </x:c>
      <x:c r="V31" s="372" t="str">
        <x:f>IF(AND($E31&lt;&gt;"",$E31&lt;=V$5+6,$F31&gt;=V$5),"■","")</x:f>
      </x:c>
      <x:c r="W31" s="372" t="str">
        <x:f>IF(AND($E31&lt;&gt;"",$E31&lt;=W$5+6,$F31&gt;=W$5),"■","")</x:f>
      </x:c>
      <x:c r="X31" s="372" t="str">
        <x:f>IF(AND($E31&lt;&gt;"",$E31&lt;=X$5+6,$F31&gt;=X$5),"■","")</x:f>
      </x:c>
      <x:c r="Y31" s="372" t="str">
        <x:f>IF(AND($E31&lt;&gt;"",$E31&lt;=Y$5+6,$F31&gt;=Y$5),"■","")</x:f>
      </x:c>
      <x:c r="Z31" s="372" t="str">
        <x:f>IF(AND($E31&lt;&gt;"",$E31&lt;=Z$5+6,$F31&gt;=Z$5),"■","")</x:f>
      </x:c>
      <x:c r="AA31" s="372" t="str">
        <x:f>IF(AND($E31&lt;&gt;"",$E31&lt;=AA$5+6,$F31&gt;=AA$5),"■","")</x:f>
      </x:c>
      <x:c r="AB31" s="372" t="str">
        <x:f>IF(AND($E31&lt;&gt;"",$E31&lt;=AB$5+6,$F31&gt;=AB$5),"■","")</x:f>
      </x:c>
      <x:c r="AC31" s="372" t="str">
        <x:f>IF(AND($E31&lt;&gt;"",$E31&lt;=AC$5+6,$F31&gt;=AC$5),"■","")</x:f>
      </x:c>
      <x:c r="AD31" s="372" t="str">
        <x:f>IF(AND($E31&lt;&gt;"",$E31&lt;=AD$5+6,$F31&gt;=AD$5),"■","")</x:f>
      </x:c>
      <x:c r="AE31" s="372" t="str">
        <x:f>IF(AND($E31&lt;&gt;"",$E31&lt;=AE$5+6,$F31&gt;=AE$5),"■","")</x:f>
      </x:c>
      <x:c r="AF31" s="372" t="str">
        <x:f>IF(AND($E31&lt;&gt;"",$E31&lt;=AF$5+6,$F31&gt;=AF$5),"■","")</x:f>
      </x:c>
      <x:c r="AG31" s="372" t="str">
        <x:f>IF(AND($E31&lt;&gt;"",$E31&lt;=AG$5+6,$F31&gt;=AG$5),"■","")</x:f>
      </x:c>
      <x:c r="AH31" s="373" t="str">
        <x:f>IF(AND($E31&lt;&gt;"",$E31&lt;=AH$5+6,$F31&gt;=AH$5),"■","")</x:f>
      </x:c>
    </x:row>
    <x:row r="32" ht="38" customHeight="1">
      <x:c r="A32" s="465" t="str">
        <x:f>'作業計画'!A32</x:f>
        <x:v>00026</x:v>
      </x:c>
      <x:c r="B32" s="194" t="str">
        <x:f>'作業計画'!B32</x:f>
        <x:v>03.事前検証</x:v>
      </x:c>
      <x:c r="C32" s="48" t="str">
        <x:f>'作業計画'!C32</x:f>
        <x:v>RedshiftのFabric参照・接続確認</x:v>
      </x:c>
      <x:c r="D32" s="48" t="str">
        <x:f>'作業計画'!D32</x:f>
        <x:v>データソース担当（要確定）</x:v>
      </x:c>
      <x:c r="E32" s="345" t="n">
        <x:f>IF('作業計画'!O32="","",'作業計画'!O32)</x:f>
        <x:v>46342</x:v>
      </x:c>
      <x:c r="F32" s="345" t="n">
        <x:f>IF('作業計画'!P32="","",'作業計画'!P32)</x:f>
        <x:v>46343</x:v>
      </x:c>
      <x:c r="G32" s="353" t="n">
        <x:f>'作業計画'!U32</x:f>
        <x:v>0</x:v>
      </x:c>
      <x:c r="H32" s="48" t="str">
        <x:f>'作業計画'!V32</x:f>
        <x:v>予定前</x:v>
      </x:c>
      <x:c r="I32" s="370" t="str">
        <x:f>IF(AND($E32&lt;&gt;"",$E32&lt;=I$5+6,$F32&gt;=I$5),"■","")</x:f>
      </x:c>
      <x:c r="J32" s="370" t="str">
        <x:f>IF(AND($E32&lt;&gt;"",$E32&lt;=J$5+6,$F32&gt;=J$5),"■","")</x:f>
      </x:c>
      <x:c r="K32" s="370" t="str">
        <x:f>IF(AND($E32&lt;&gt;"",$E32&lt;=K$5+6,$F32&gt;=K$5),"■","")</x:f>
      </x:c>
      <x:c r="L32" s="370" t="str">
        <x:f>IF(AND($E32&lt;&gt;"",$E32&lt;=L$5+6,$F32&gt;=L$5),"■","")</x:f>
      </x:c>
      <x:c r="M32" s="370" t="str">
        <x:f>IF(AND($E32&lt;&gt;"",$E32&lt;=M$5+6,$F32&gt;=M$5),"■","")</x:f>
        <x:v>■</x:v>
      </x:c>
      <x:c r="N32" s="370" t="str">
        <x:f>IF(AND($E32&lt;&gt;"",$E32&lt;=N$5+6,$F32&gt;=N$5),"■","")</x:f>
      </x:c>
      <x:c r="O32" s="370" t="str">
        <x:f>IF(AND($E32&lt;&gt;"",$E32&lt;=O$5+6,$F32&gt;=O$5),"■","")</x:f>
      </x:c>
      <x:c r="P32" s="370" t="str">
        <x:f>IF(AND($E32&lt;&gt;"",$E32&lt;=P$5+6,$F32&gt;=P$5),"■","")</x:f>
      </x:c>
      <x:c r="Q32" s="370" t="str">
        <x:f>IF(AND($E32&lt;&gt;"",$E32&lt;=Q$5+6,$F32&gt;=Q$5),"■","")</x:f>
      </x:c>
      <x:c r="R32" s="370" t="str">
        <x:f>IF(AND($E32&lt;&gt;"",$E32&lt;=R$5+6,$F32&gt;=R$5),"■","")</x:f>
      </x:c>
      <x:c r="S32" s="370" t="str">
        <x:f>IF(AND($E32&lt;&gt;"",$E32&lt;=S$5+6,$F32&gt;=S$5),"■","")</x:f>
      </x:c>
      <x:c r="T32" s="370" t="str">
        <x:f>IF(AND($E32&lt;&gt;"",$E32&lt;=T$5+6,$F32&gt;=T$5),"■","")</x:f>
      </x:c>
      <x:c r="U32" s="370" t="str">
        <x:f>IF(AND($E32&lt;&gt;"",$E32&lt;=U$5+6,$F32&gt;=U$5),"■","")</x:f>
      </x:c>
      <x:c r="V32" s="370" t="str">
        <x:f>IF(AND($E32&lt;&gt;"",$E32&lt;=V$5+6,$F32&gt;=V$5),"■","")</x:f>
      </x:c>
      <x:c r="W32" s="370" t="str">
        <x:f>IF(AND($E32&lt;&gt;"",$E32&lt;=W$5+6,$F32&gt;=W$5),"■","")</x:f>
      </x:c>
      <x:c r="X32" s="370" t="str">
        <x:f>IF(AND($E32&lt;&gt;"",$E32&lt;=X$5+6,$F32&gt;=X$5),"■","")</x:f>
      </x:c>
      <x:c r="Y32" s="370" t="str">
        <x:f>IF(AND($E32&lt;&gt;"",$E32&lt;=Y$5+6,$F32&gt;=Y$5),"■","")</x:f>
      </x:c>
      <x:c r="Z32" s="370" t="str">
        <x:f>IF(AND($E32&lt;&gt;"",$E32&lt;=Z$5+6,$F32&gt;=Z$5),"■","")</x:f>
      </x:c>
      <x:c r="AA32" s="370" t="str">
        <x:f>IF(AND($E32&lt;&gt;"",$E32&lt;=AA$5+6,$F32&gt;=AA$5),"■","")</x:f>
      </x:c>
      <x:c r="AB32" s="370" t="str">
        <x:f>IF(AND($E32&lt;&gt;"",$E32&lt;=AB$5+6,$F32&gt;=AB$5),"■","")</x:f>
      </x:c>
      <x:c r="AC32" s="370" t="str">
        <x:f>IF(AND($E32&lt;&gt;"",$E32&lt;=AC$5+6,$F32&gt;=AC$5),"■","")</x:f>
      </x:c>
      <x:c r="AD32" s="370" t="str">
        <x:f>IF(AND($E32&lt;&gt;"",$E32&lt;=AD$5+6,$F32&gt;=AD$5),"■","")</x:f>
      </x:c>
      <x:c r="AE32" s="370" t="str">
        <x:f>IF(AND($E32&lt;&gt;"",$E32&lt;=AE$5+6,$F32&gt;=AE$5),"■","")</x:f>
      </x:c>
      <x:c r="AF32" s="370" t="str">
        <x:f>IF(AND($E32&lt;&gt;"",$E32&lt;=AF$5+6,$F32&gt;=AF$5),"■","")</x:f>
      </x:c>
      <x:c r="AG32" s="370" t="str">
        <x:f>IF(AND($E32&lt;&gt;"",$E32&lt;=AG$5+6,$F32&gt;=AG$5),"■","")</x:f>
      </x:c>
      <x:c r="AH32" s="371" t="str">
        <x:f>IF(AND($E32&lt;&gt;"",$E32&lt;=AH$5+6,$F32&gt;=AH$5),"■","")</x:f>
      </x:c>
    </x:row>
    <x:row r="33" ht="38" customHeight="1">
      <x:c r="A33" s="466" t="str">
        <x:f>'作業計画'!A33</x:f>
        <x:v>00027</x:v>
      </x:c>
      <x:c r="B33" s="194" t="str">
        <x:f>'作業計画'!B33</x:f>
        <x:v>03.事前検証</x:v>
      </x:c>
      <x:c r="C33" s="56" t="str">
        <x:f>'作業計画'!C33</x:f>
        <x:v>SharePoint参照・Excel配置の確認</x:v>
      </x:c>
      <x:c r="D33" s="56" t="str">
        <x:f>'作業計画'!D33</x:f>
        <x:v>データソース担当（要確定）</x:v>
      </x:c>
      <x:c r="E33" s="346" t="n">
        <x:f>IF('作業計画'!O33="","",'作業計画'!O33)</x:f>
        <x:v>46342</x:v>
      </x:c>
      <x:c r="F33" s="346" t="n">
        <x:f>IF('作業計画'!P33="","",'作業計画'!P33)</x:f>
        <x:v>46343</x:v>
      </x:c>
      <x:c r="G33" s="354" t="n">
        <x:f>'作業計画'!U33</x:f>
        <x:v>0</x:v>
      </x:c>
      <x:c r="H33" s="56" t="str">
        <x:f>'作業計画'!V33</x:f>
        <x:v>予定前</x:v>
      </x:c>
      <x:c r="I33" s="372" t="str">
        <x:f>IF(AND($E33&lt;&gt;"",$E33&lt;=I$5+6,$F33&gt;=I$5),"■","")</x:f>
      </x:c>
      <x:c r="J33" s="372" t="str">
        <x:f>IF(AND($E33&lt;&gt;"",$E33&lt;=J$5+6,$F33&gt;=J$5),"■","")</x:f>
      </x:c>
      <x:c r="K33" s="372" t="str">
        <x:f>IF(AND($E33&lt;&gt;"",$E33&lt;=K$5+6,$F33&gt;=K$5),"■","")</x:f>
      </x:c>
      <x:c r="L33" s="372" t="str">
        <x:f>IF(AND($E33&lt;&gt;"",$E33&lt;=L$5+6,$F33&gt;=L$5),"■","")</x:f>
      </x:c>
      <x:c r="M33" s="372" t="str">
        <x:f>IF(AND($E33&lt;&gt;"",$E33&lt;=M$5+6,$F33&gt;=M$5),"■","")</x:f>
        <x:v>■</x:v>
      </x:c>
      <x:c r="N33" s="372" t="str">
        <x:f>IF(AND($E33&lt;&gt;"",$E33&lt;=N$5+6,$F33&gt;=N$5),"■","")</x:f>
      </x:c>
      <x:c r="O33" s="372" t="str">
        <x:f>IF(AND($E33&lt;&gt;"",$E33&lt;=O$5+6,$F33&gt;=O$5),"■","")</x:f>
      </x:c>
      <x:c r="P33" s="372" t="str">
        <x:f>IF(AND($E33&lt;&gt;"",$E33&lt;=P$5+6,$F33&gt;=P$5),"■","")</x:f>
      </x:c>
      <x:c r="Q33" s="372" t="str">
        <x:f>IF(AND($E33&lt;&gt;"",$E33&lt;=Q$5+6,$F33&gt;=Q$5),"■","")</x:f>
      </x:c>
      <x:c r="R33" s="372" t="str">
        <x:f>IF(AND($E33&lt;&gt;"",$E33&lt;=R$5+6,$F33&gt;=R$5),"■","")</x:f>
      </x:c>
      <x:c r="S33" s="372" t="str">
        <x:f>IF(AND($E33&lt;&gt;"",$E33&lt;=S$5+6,$F33&gt;=S$5),"■","")</x:f>
      </x:c>
      <x:c r="T33" s="372" t="str">
        <x:f>IF(AND($E33&lt;&gt;"",$E33&lt;=T$5+6,$F33&gt;=T$5),"■","")</x:f>
      </x:c>
      <x:c r="U33" s="372" t="str">
        <x:f>IF(AND($E33&lt;&gt;"",$E33&lt;=U$5+6,$F33&gt;=U$5),"■","")</x:f>
      </x:c>
      <x:c r="V33" s="372" t="str">
        <x:f>IF(AND($E33&lt;&gt;"",$E33&lt;=V$5+6,$F33&gt;=V$5),"■","")</x:f>
      </x:c>
      <x:c r="W33" s="372" t="str">
        <x:f>IF(AND($E33&lt;&gt;"",$E33&lt;=W$5+6,$F33&gt;=W$5),"■","")</x:f>
      </x:c>
      <x:c r="X33" s="372" t="str">
        <x:f>IF(AND($E33&lt;&gt;"",$E33&lt;=X$5+6,$F33&gt;=X$5),"■","")</x:f>
      </x:c>
      <x:c r="Y33" s="372" t="str">
        <x:f>IF(AND($E33&lt;&gt;"",$E33&lt;=Y$5+6,$F33&gt;=Y$5),"■","")</x:f>
      </x:c>
      <x:c r="Z33" s="372" t="str">
        <x:f>IF(AND($E33&lt;&gt;"",$E33&lt;=Z$5+6,$F33&gt;=Z$5),"■","")</x:f>
      </x:c>
      <x:c r="AA33" s="372" t="str">
        <x:f>IF(AND($E33&lt;&gt;"",$E33&lt;=AA$5+6,$F33&gt;=AA$5),"■","")</x:f>
      </x:c>
      <x:c r="AB33" s="372" t="str">
        <x:f>IF(AND($E33&lt;&gt;"",$E33&lt;=AB$5+6,$F33&gt;=AB$5),"■","")</x:f>
      </x:c>
      <x:c r="AC33" s="372" t="str">
        <x:f>IF(AND($E33&lt;&gt;"",$E33&lt;=AC$5+6,$F33&gt;=AC$5),"■","")</x:f>
      </x:c>
      <x:c r="AD33" s="372" t="str">
        <x:f>IF(AND($E33&lt;&gt;"",$E33&lt;=AD$5+6,$F33&gt;=AD$5),"■","")</x:f>
      </x:c>
      <x:c r="AE33" s="372" t="str">
        <x:f>IF(AND($E33&lt;&gt;"",$E33&lt;=AE$5+6,$F33&gt;=AE$5),"■","")</x:f>
      </x:c>
      <x:c r="AF33" s="372" t="str">
        <x:f>IF(AND($E33&lt;&gt;"",$E33&lt;=AF$5+6,$F33&gt;=AF$5),"■","")</x:f>
      </x:c>
      <x:c r="AG33" s="372" t="str">
        <x:f>IF(AND($E33&lt;&gt;"",$E33&lt;=AG$5+6,$F33&gt;=AG$5),"■","")</x:f>
      </x:c>
      <x:c r="AH33" s="373" t="str">
        <x:f>IF(AND($E33&lt;&gt;"",$E33&lt;=AH$5+6,$F33&gt;=AH$5),"■","")</x:f>
      </x:c>
    </x:row>
    <x:row r="34" ht="38" customHeight="1">
      <x:c r="A34" s="465" t="str">
        <x:f>'作業計画'!A34</x:f>
        <x:v>00028</x:v>
      </x:c>
      <x:c r="B34" s="194" t="str">
        <x:f>'作業計画'!B34</x:f>
        <x:v>03.事前検証</x:v>
      </x:c>
      <x:c r="C34" s="44" t="str">
        <x:f>'作業計画'!C34</x:f>
        <x:v>Fabric→Dataverseテスト連携の事前検証</x:v>
      </x:c>
      <x:c r="D34" s="48" t="str">
        <x:f>'作業計画'!D34</x:f>
        <x:v>連携担当（要確定）</x:v>
      </x:c>
      <x:c r="E34" s="345" t="n">
        <x:f>IF('作業計画'!O34="","",'作業計画'!O34)</x:f>
        <x:v>46343</x:v>
      </x:c>
      <x:c r="F34" s="345" t="n">
        <x:f>IF('作業計画'!P34="","",'作業計画'!P34)</x:f>
        <x:v>46345</x:v>
      </x:c>
      <x:c r="G34" s="353" t="n">
        <x:f>'作業計画'!U34</x:f>
        <x:v>0</x:v>
      </x:c>
      <x:c r="H34" s="48" t="str">
        <x:f>'作業計画'!V34</x:f>
        <x:v>予定前</x:v>
      </x:c>
      <x:c r="I34" s="370" t="str">
        <x:f>IF(AND($E34&lt;&gt;"",$E34&lt;=I$5+6,$F34&gt;=I$5),"■","")</x:f>
      </x:c>
      <x:c r="J34" s="370" t="str">
        <x:f>IF(AND($E34&lt;&gt;"",$E34&lt;=J$5+6,$F34&gt;=J$5),"■","")</x:f>
      </x:c>
      <x:c r="K34" s="370" t="str">
        <x:f>IF(AND($E34&lt;&gt;"",$E34&lt;=K$5+6,$F34&gt;=K$5),"■","")</x:f>
      </x:c>
      <x:c r="L34" s="370" t="str">
        <x:f>IF(AND($E34&lt;&gt;"",$E34&lt;=L$5+6,$F34&gt;=L$5),"■","")</x:f>
      </x:c>
      <x:c r="M34" s="370" t="str">
        <x:f>IF(AND($E34&lt;&gt;"",$E34&lt;=M$5+6,$F34&gt;=M$5),"■","")</x:f>
        <x:v>■</x:v>
      </x:c>
      <x:c r="N34" s="370" t="str">
        <x:f>IF(AND($E34&lt;&gt;"",$E34&lt;=N$5+6,$F34&gt;=N$5),"■","")</x:f>
      </x:c>
      <x:c r="O34" s="370" t="str">
        <x:f>IF(AND($E34&lt;&gt;"",$E34&lt;=O$5+6,$F34&gt;=O$5),"■","")</x:f>
      </x:c>
      <x:c r="P34" s="370" t="str">
        <x:f>IF(AND($E34&lt;&gt;"",$E34&lt;=P$5+6,$F34&gt;=P$5),"■","")</x:f>
      </x:c>
      <x:c r="Q34" s="370" t="str">
        <x:f>IF(AND($E34&lt;&gt;"",$E34&lt;=Q$5+6,$F34&gt;=Q$5),"■","")</x:f>
      </x:c>
      <x:c r="R34" s="370" t="str">
        <x:f>IF(AND($E34&lt;&gt;"",$E34&lt;=R$5+6,$F34&gt;=R$5),"■","")</x:f>
      </x:c>
      <x:c r="S34" s="370" t="str">
        <x:f>IF(AND($E34&lt;&gt;"",$E34&lt;=S$5+6,$F34&gt;=S$5),"■","")</x:f>
      </x:c>
      <x:c r="T34" s="370" t="str">
        <x:f>IF(AND($E34&lt;&gt;"",$E34&lt;=T$5+6,$F34&gt;=T$5),"■","")</x:f>
      </x:c>
      <x:c r="U34" s="370" t="str">
        <x:f>IF(AND($E34&lt;&gt;"",$E34&lt;=U$5+6,$F34&gt;=U$5),"■","")</x:f>
      </x:c>
      <x:c r="V34" s="370" t="str">
        <x:f>IF(AND($E34&lt;&gt;"",$E34&lt;=V$5+6,$F34&gt;=V$5),"■","")</x:f>
      </x:c>
      <x:c r="W34" s="370" t="str">
        <x:f>IF(AND($E34&lt;&gt;"",$E34&lt;=W$5+6,$F34&gt;=W$5),"■","")</x:f>
      </x:c>
      <x:c r="X34" s="370" t="str">
        <x:f>IF(AND($E34&lt;&gt;"",$E34&lt;=X$5+6,$F34&gt;=X$5),"■","")</x:f>
      </x:c>
      <x:c r="Y34" s="370" t="str">
        <x:f>IF(AND($E34&lt;&gt;"",$E34&lt;=Y$5+6,$F34&gt;=Y$5),"■","")</x:f>
      </x:c>
      <x:c r="Z34" s="370" t="str">
        <x:f>IF(AND($E34&lt;&gt;"",$E34&lt;=Z$5+6,$F34&gt;=Z$5),"■","")</x:f>
      </x:c>
      <x:c r="AA34" s="370" t="str">
        <x:f>IF(AND($E34&lt;&gt;"",$E34&lt;=AA$5+6,$F34&gt;=AA$5),"■","")</x:f>
      </x:c>
      <x:c r="AB34" s="370" t="str">
        <x:f>IF(AND($E34&lt;&gt;"",$E34&lt;=AB$5+6,$F34&gt;=AB$5),"■","")</x:f>
      </x:c>
      <x:c r="AC34" s="370" t="str">
        <x:f>IF(AND($E34&lt;&gt;"",$E34&lt;=AC$5+6,$F34&gt;=AC$5),"■","")</x:f>
      </x:c>
      <x:c r="AD34" s="370" t="str">
        <x:f>IF(AND($E34&lt;&gt;"",$E34&lt;=AD$5+6,$F34&gt;=AD$5),"■","")</x:f>
      </x:c>
      <x:c r="AE34" s="370" t="str">
        <x:f>IF(AND($E34&lt;&gt;"",$E34&lt;=AE$5+6,$F34&gt;=AE$5),"■","")</x:f>
      </x:c>
      <x:c r="AF34" s="370" t="str">
        <x:f>IF(AND($E34&lt;&gt;"",$E34&lt;=AF$5+6,$F34&gt;=AF$5),"■","")</x:f>
      </x:c>
      <x:c r="AG34" s="370" t="str">
        <x:f>IF(AND($E34&lt;&gt;"",$E34&lt;=AG$5+6,$F34&gt;=AG$5),"■","")</x:f>
      </x:c>
      <x:c r="AH34" s="371" t="str">
        <x:f>IF(AND($E34&lt;&gt;"",$E34&lt;=AH$5+6,$F34&gt;=AH$5),"■","")</x:f>
      </x:c>
    </x:row>
    <x:row r="35" ht="38" customHeight="1">
      <x:c r="A35" s="466" t="str">
        <x:f>'作業計画'!A35</x:f>
        <x:v>00029</x:v>
      </x:c>
      <x:c r="B35" s="194" t="str">
        <x:f>'作業計画'!B35</x:f>
        <x:v>03.事前検証</x:v>
      </x:c>
      <x:c r="C35" s="44" t="str">
        <x:f>'作業計画'!C35</x:f>
        <x:v>SQL共通Functionの作成・呼出し事前検証</x:v>
      </x:c>
      <x:c r="D35" s="56" t="str">
        <x:f>'作業計画'!D35</x:f>
        <x:v>李（元資料の確認先）</x:v>
      </x:c>
      <x:c r="E35" s="346" t="n">
        <x:f>IF('作業計画'!O35="","",'作業計画'!O35)</x:f>
        <x:v>46342</x:v>
      </x:c>
      <x:c r="F35" s="346" t="n">
        <x:f>IF('作業計画'!P35="","",'作業計画'!P35)</x:f>
        <x:v>46344</x:v>
      </x:c>
      <x:c r="G35" s="354" t="n">
        <x:f>'作業計画'!U35</x:f>
        <x:v>0</x:v>
      </x:c>
      <x:c r="H35" s="56" t="str">
        <x:f>'作業計画'!V35</x:f>
        <x:v>予定前</x:v>
      </x:c>
      <x:c r="I35" s="372" t="str">
        <x:f>IF(AND($E35&lt;&gt;"",$E35&lt;=I$5+6,$F35&gt;=I$5),"■","")</x:f>
      </x:c>
      <x:c r="J35" s="372" t="str">
        <x:f>IF(AND($E35&lt;&gt;"",$E35&lt;=J$5+6,$F35&gt;=J$5),"■","")</x:f>
      </x:c>
      <x:c r="K35" s="372" t="str">
        <x:f>IF(AND($E35&lt;&gt;"",$E35&lt;=K$5+6,$F35&gt;=K$5),"■","")</x:f>
      </x:c>
      <x:c r="L35" s="372" t="str">
        <x:f>IF(AND($E35&lt;&gt;"",$E35&lt;=L$5+6,$F35&gt;=L$5),"■","")</x:f>
      </x:c>
      <x:c r="M35" s="372" t="str">
        <x:f>IF(AND($E35&lt;&gt;"",$E35&lt;=M$5+6,$F35&gt;=M$5),"■","")</x:f>
        <x:v>■</x:v>
      </x:c>
      <x:c r="N35" s="372" t="str">
        <x:f>IF(AND($E35&lt;&gt;"",$E35&lt;=N$5+6,$F35&gt;=N$5),"■","")</x:f>
      </x:c>
      <x:c r="O35" s="372" t="str">
        <x:f>IF(AND($E35&lt;&gt;"",$E35&lt;=O$5+6,$F35&gt;=O$5),"■","")</x:f>
      </x:c>
      <x:c r="P35" s="372" t="str">
        <x:f>IF(AND($E35&lt;&gt;"",$E35&lt;=P$5+6,$F35&gt;=P$5),"■","")</x:f>
      </x:c>
      <x:c r="Q35" s="372" t="str">
        <x:f>IF(AND($E35&lt;&gt;"",$E35&lt;=Q$5+6,$F35&gt;=Q$5),"■","")</x:f>
      </x:c>
      <x:c r="R35" s="372" t="str">
        <x:f>IF(AND($E35&lt;&gt;"",$E35&lt;=R$5+6,$F35&gt;=R$5),"■","")</x:f>
      </x:c>
      <x:c r="S35" s="372" t="str">
        <x:f>IF(AND($E35&lt;&gt;"",$E35&lt;=S$5+6,$F35&gt;=S$5),"■","")</x:f>
      </x:c>
      <x:c r="T35" s="372" t="str">
        <x:f>IF(AND($E35&lt;&gt;"",$E35&lt;=T$5+6,$F35&gt;=T$5),"■","")</x:f>
      </x:c>
      <x:c r="U35" s="372" t="str">
        <x:f>IF(AND($E35&lt;&gt;"",$E35&lt;=U$5+6,$F35&gt;=U$5),"■","")</x:f>
      </x:c>
      <x:c r="V35" s="372" t="str">
        <x:f>IF(AND($E35&lt;&gt;"",$E35&lt;=V$5+6,$F35&gt;=V$5),"■","")</x:f>
      </x:c>
      <x:c r="W35" s="372" t="str">
        <x:f>IF(AND($E35&lt;&gt;"",$E35&lt;=W$5+6,$F35&gt;=W$5),"■","")</x:f>
      </x:c>
      <x:c r="X35" s="372" t="str">
        <x:f>IF(AND($E35&lt;&gt;"",$E35&lt;=X$5+6,$F35&gt;=X$5),"■","")</x:f>
      </x:c>
      <x:c r="Y35" s="372" t="str">
        <x:f>IF(AND($E35&lt;&gt;"",$E35&lt;=Y$5+6,$F35&gt;=Y$5),"■","")</x:f>
      </x:c>
      <x:c r="Z35" s="372" t="str">
        <x:f>IF(AND($E35&lt;&gt;"",$E35&lt;=Z$5+6,$F35&gt;=Z$5),"■","")</x:f>
      </x:c>
      <x:c r="AA35" s="372" t="str">
        <x:f>IF(AND($E35&lt;&gt;"",$E35&lt;=AA$5+6,$F35&gt;=AA$5),"■","")</x:f>
      </x:c>
      <x:c r="AB35" s="372" t="str">
        <x:f>IF(AND($E35&lt;&gt;"",$E35&lt;=AB$5+6,$F35&gt;=AB$5),"■","")</x:f>
      </x:c>
      <x:c r="AC35" s="372" t="str">
        <x:f>IF(AND($E35&lt;&gt;"",$E35&lt;=AC$5+6,$F35&gt;=AC$5),"■","")</x:f>
      </x:c>
      <x:c r="AD35" s="372" t="str">
        <x:f>IF(AND($E35&lt;&gt;"",$E35&lt;=AD$5+6,$F35&gt;=AD$5),"■","")</x:f>
      </x:c>
      <x:c r="AE35" s="372" t="str">
        <x:f>IF(AND($E35&lt;&gt;"",$E35&lt;=AE$5+6,$F35&gt;=AE$5),"■","")</x:f>
      </x:c>
      <x:c r="AF35" s="372" t="str">
        <x:f>IF(AND($E35&lt;&gt;"",$E35&lt;=AF$5+6,$F35&gt;=AF$5),"■","")</x:f>
      </x:c>
      <x:c r="AG35" s="372" t="str">
        <x:f>IF(AND($E35&lt;&gt;"",$E35&lt;=AG$5+6,$F35&gt;=AG$5),"■","")</x:f>
      </x:c>
      <x:c r="AH35" s="373" t="str">
        <x:f>IF(AND($E35&lt;&gt;"",$E35&lt;=AH$5+6,$F35&gt;=AH$5),"■","")</x:f>
      </x:c>
    </x:row>
    <x:row r="36" ht="38" customHeight="1">
      <x:c r="A36" s="465" t="str">
        <x:f>'作業計画'!A36</x:f>
        <x:v>00030</x:v>
      </x:c>
      <x:c r="B36" s="194" t="str">
        <x:f>'作業計画'!B36</x:f>
        <x:v>03.事前検証</x:v>
      </x:c>
      <x:c r="C36" s="44" t="str">
        <x:f>'作業計画'!C36</x:f>
        <x:v>別Notebook共通関数の参照呼出し事前検証</x:v>
      </x:c>
      <x:c r="D36" s="48" t="str">
        <x:f>'作業計画'!D36</x:f>
        <x:v>李（元資料の確認先）</x:v>
      </x:c>
      <x:c r="E36" s="345" t="n">
        <x:f>IF('作業計画'!O36="","",'作業計画'!O36)</x:f>
        <x:v>46342</x:v>
      </x:c>
      <x:c r="F36" s="345" t="n">
        <x:f>IF('作業計画'!P36="","",'作業計画'!P36)</x:f>
        <x:v>46344</x:v>
      </x:c>
      <x:c r="G36" s="353" t="n">
        <x:f>'作業計画'!U36</x:f>
        <x:v>0</x:v>
      </x:c>
      <x:c r="H36" s="48" t="str">
        <x:f>'作業計画'!V36</x:f>
        <x:v>予定前</x:v>
      </x:c>
      <x:c r="I36" s="370" t="str">
        <x:f>IF(AND($E36&lt;&gt;"",$E36&lt;=I$5+6,$F36&gt;=I$5),"■","")</x:f>
      </x:c>
      <x:c r="J36" s="370" t="str">
        <x:f>IF(AND($E36&lt;&gt;"",$E36&lt;=J$5+6,$F36&gt;=J$5),"■","")</x:f>
      </x:c>
      <x:c r="K36" s="370" t="str">
        <x:f>IF(AND($E36&lt;&gt;"",$E36&lt;=K$5+6,$F36&gt;=K$5),"■","")</x:f>
      </x:c>
      <x:c r="L36" s="370" t="str">
        <x:f>IF(AND($E36&lt;&gt;"",$E36&lt;=L$5+6,$F36&gt;=L$5),"■","")</x:f>
      </x:c>
      <x:c r="M36" s="370" t="str">
        <x:f>IF(AND($E36&lt;&gt;"",$E36&lt;=M$5+6,$F36&gt;=M$5),"■","")</x:f>
        <x:v>■</x:v>
      </x:c>
      <x:c r="N36" s="370" t="str">
        <x:f>IF(AND($E36&lt;&gt;"",$E36&lt;=N$5+6,$F36&gt;=N$5),"■","")</x:f>
      </x:c>
      <x:c r="O36" s="370" t="str">
        <x:f>IF(AND($E36&lt;&gt;"",$E36&lt;=O$5+6,$F36&gt;=O$5),"■","")</x:f>
      </x:c>
      <x:c r="P36" s="370" t="str">
        <x:f>IF(AND($E36&lt;&gt;"",$E36&lt;=P$5+6,$F36&gt;=P$5),"■","")</x:f>
      </x:c>
      <x:c r="Q36" s="370" t="str">
        <x:f>IF(AND($E36&lt;&gt;"",$E36&lt;=Q$5+6,$F36&gt;=Q$5),"■","")</x:f>
      </x:c>
      <x:c r="R36" s="370" t="str">
        <x:f>IF(AND($E36&lt;&gt;"",$E36&lt;=R$5+6,$F36&gt;=R$5),"■","")</x:f>
      </x:c>
      <x:c r="S36" s="370" t="str">
        <x:f>IF(AND($E36&lt;&gt;"",$E36&lt;=S$5+6,$F36&gt;=S$5),"■","")</x:f>
      </x:c>
      <x:c r="T36" s="370" t="str">
        <x:f>IF(AND($E36&lt;&gt;"",$E36&lt;=T$5+6,$F36&gt;=T$5),"■","")</x:f>
      </x:c>
      <x:c r="U36" s="370" t="str">
        <x:f>IF(AND($E36&lt;&gt;"",$E36&lt;=U$5+6,$F36&gt;=U$5),"■","")</x:f>
      </x:c>
      <x:c r="V36" s="370" t="str">
        <x:f>IF(AND($E36&lt;&gt;"",$E36&lt;=V$5+6,$F36&gt;=V$5),"■","")</x:f>
      </x:c>
      <x:c r="W36" s="370" t="str">
        <x:f>IF(AND($E36&lt;&gt;"",$E36&lt;=W$5+6,$F36&gt;=W$5),"■","")</x:f>
      </x:c>
      <x:c r="X36" s="370" t="str">
        <x:f>IF(AND($E36&lt;&gt;"",$E36&lt;=X$5+6,$F36&gt;=X$5),"■","")</x:f>
      </x:c>
      <x:c r="Y36" s="370" t="str">
        <x:f>IF(AND($E36&lt;&gt;"",$E36&lt;=Y$5+6,$F36&gt;=Y$5),"■","")</x:f>
      </x:c>
      <x:c r="Z36" s="370" t="str">
        <x:f>IF(AND($E36&lt;&gt;"",$E36&lt;=Z$5+6,$F36&gt;=Z$5),"■","")</x:f>
      </x:c>
      <x:c r="AA36" s="370" t="str">
        <x:f>IF(AND($E36&lt;&gt;"",$E36&lt;=AA$5+6,$F36&gt;=AA$5),"■","")</x:f>
      </x:c>
      <x:c r="AB36" s="370" t="str">
        <x:f>IF(AND($E36&lt;&gt;"",$E36&lt;=AB$5+6,$F36&gt;=AB$5),"■","")</x:f>
      </x:c>
      <x:c r="AC36" s="370" t="str">
        <x:f>IF(AND($E36&lt;&gt;"",$E36&lt;=AC$5+6,$F36&gt;=AC$5),"■","")</x:f>
      </x:c>
      <x:c r="AD36" s="370" t="str">
        <x:f>IF(AND($E36&lt;&gt;"",$E36&lt;=AD$5+6,$F36&gt;=AD$5),"■","")</x:f>
      </x:c>
      <x:c r="AE36" s="370" t="str">
        <x:f>IF(AND($E36&lt;&gt;"",$E36&lt;=AE$5+6,$F36&gt;=AE$5),"■","")</x:f>
      </x:c>
      <x:c r="AF36" s="370" t="str">
        <x:f>IF(AND($E36&lt;&gt;"",$E36&lt;=AF$5+6,$F36&gt;=AF$5),"■","")</x:f>
      </x:c>
      <x:c r="AG36" s="370" t="str">
        <x:f>IF(AND($E36&lt;&gt;"",$E36&lt;=AG$5+6,$F36&gt;=AG$5),"■","")</x:f>
      </x:c>
      <x:c r="AH36" s="371" t="str">
        <x:f>IF(AND($E36&lt;&gt;"",$E36&lt;=AH$5+6,$F36&gt;=AH$5),"■","")</x:f>
      </x:c>
    </x:row>
    <x:row r="37" ht="38" customHeight="1">
      <x:c r="A37" s="466" t="str">
        <x:f>'作業計画'!A37</x:f>
        <x:v>00031</x:v>
      </x:c>
      <x:c r="B37" s="192" t="str">
        <x:f>'作業計画'!B37</x:f>
        <x:v>02.要件・設計</x:v>
      </x:c>
      <x:c r="C37" s="56" t="str">
        <x:f>'作業計画'!C37</x:f>
        <x:v>Function・View・差分・共通Notebook・出力共通設計</x:v>
      </x:c>
      <x:c r="D37" s="56" t="str">
        <x:f>'作業計画'!D37</x:f>
        <x:v>設計担当（要確定）</x:v>
      </x:c>
      <x:c r="E37" s="346" t="n">
        <x:f>IF('作業計画'!O37="","",'作業計画'!O37)</x:f>
        <x:v>46346</x:v>
      </x:c>
      <x:c r="F37" s="346" t="n">
        <x:f>IF('作業計画'!P37="","",'作業計画'!P37)</x:f>
        <x:v>46350</x:v>
      </x:c>
      <x:c r="G37" s="354" t="n">
        <x:f>'作業計画'!U37</x:f>
        <x:v>0</x:v>
      </x:c>
      <x:c r="H37" s="56" t="str">
        <x:f>'作業計画'!V37</x:f>
        <x:v>予定前</x:v>
      </x:c>
      <x:c r="I37" s="372" t="str">
        <x:f>IF(AND($E37&lt;&gt;"",$E37&lt;=I$5+6,$F37&gt;=I$5),"■","")</x:f>
      </x:c>
      <x:c r="J37" s="372" t="str">
        <x:f>IF(AND($E37&lt;&gt;"",$E37&lt;=J$5+6,$F37&gt;=J$5),"■","")</x:f>
      </x:c>
      <x:c r="K37" s="372" t="str">
        <x:f>IF(AND($E37&lt;&gt;"",$E37&lt;=K$5+6,$F37&gt;=K$5),"■","")</x:f>
      </x:c>
      <x:c r="L37" s="372" t="str">
        <x:f>IF(AND($E37&lt;&gt;"",$E37&lt;=L$5+6,$F37&gt;=L$5),"■","")</x:f>
      </x:c>
      <x:c r="M37" s="372" t="str">
        <x:f>IF(AND($E37&lt;&gt;"",$E37&lt;=M$5+6,$F37&gt;=M$5),"■","")</x:f>
        <x:v>■</x:v>
      </x:c>
      <x:c r="N37" s="372" t="str">
        <x:f>IF(AND($E37&lt;&gt;"",$E37&lt;=N$5+6,$F37&gt;=N$5),"■","")</x:f>
        <x:v>■</x:v>
      </x:c>
      <x:c r="O37" s="372" t="str">
        <x:f>IF(AND($E37&lt;&gt;"",$E37&lt;=O$5+6,$F37&gt;=O$5),"■","")</x:f>
      </x:c>
      <x:c r="P37" s="372" t="str">
        <x:f>IF(AND($E37&lt;&gt;"",$E37&lt;=P$5+6,$F37&gt;=P$5),"■","")</x:f>
      </x:c>
      <x:c r="Q37" s="372" t="str">
        <x:f>IF(AND($E37&lt;&gt;"",$E37&lt;=Q$5+6,$F37&gt;=Q$5),"■","")</x:f>
      </x:c>
      <x:c r="R37" s="372" t="str">
        <x:f>IF(AND($E37&lt;&gt;"",$E37&lt;=R$5+6,$F37&gt;=R$5),"■","")</x:f>
      </x:c>
      <x:c r="S37" s="372" t="str">
        <x:f>IF(AND($E37&lt;&gt;"",$E37&lt;=S$5+6,$F37&gt;=S$5),"■","")</x:f>
      </x:c>
      <x:c r="T37" s="372" t="str">
        <x:f>IF(AND($E37&lt;&gt;"",$E37&lt;=T$5+6,$F37&gt;=T$5),"■","")</x:f>
      </x:c>
      <x:c r="U37" s="372" t="str">
        <x:f>IF(AND($E37&lt;&gt;"",$E37&lt;=U$5+6,$F37&gt;=U$5),"■","")</x:f>
      </x:c>
      <x:c r="V37" s="372" t="str">
        <x:f>IF(AND($E37&lt;&gt;"",$E37&lt;=V$5+6,$F37&gt;=V$5),"■","")</x:f>
      </x:c>
      <x:c r="W37" s="372" t="str">
        <x:f>IF(AND($E37&lt;&gt;"",$E37&lt;=W$5+6,$F37&gt;=W$5),"■","")</x:f>
      </x:c>
      <x:c r="X37" s="372" t="str">
        <x:f>IF(AND($E37&lt;&gt;"",$E37&lt;=X$5+6,$F37&gt;=X$5),"■","")</x:f>
      </x:c>
      <x:c r="Y37" s="372" t="str">
        <x:f>IF(AND($E37&lt;&gt;"",$E37&lt;=Y$5+6,$F37&gt;=Y$5),"■","")</x:f>
      </x:c>
      <x:c r="Z37" s="372" t="str">
        <x:f>IF(AND($E37&lt;&gt;"",$E37&lt;=Z$5+6,$F37&gt;=Z$5),"■","")</x:f>
      </x:c>
      <x:c r="AA37" s="372" t="str">
        <x:f>IF(AND($E37&lt;&gt;"",$E37&lt;=AA$5+6,$F37&gt;=AA$5),"■","")</x:f>
      </x:c>
      <x:c r="AB37" s="372" t="str">
        <x:f>IF(AND($E37&lt;&gt;"",$E37&lt;=AB$5+6,$F37&gt;=AB$5),"■","")</x:f>
      </x:c>
      <x:c r="AC37" s="372" t="str">
        <x:f>IF(AND($E37&lt;&gt;"",$E37&lt;=AC$5+6,$F37&gt;=AC$5),"■","")</x:f>
      </x:c>
      <x:c r="AD37" s="372" t="str">
        <x:f>IF(AND($E37&lt;&gt;"",$E37&lt;=AD$5+6,$F37&gt;=AD$5),"■","")</x:f>
      </x:c>
      <x:c r="AE37" s="372" t="str">
        <x:f>IF(AND($E37&lt;&gt;"",$E37&lt;=AE$5+6,$F37&gt;=AE$5),"■","")</x:f>
      </x:c>
      <x:c r="AF37" s="372" t="str">
        <x:f>IF(AND($E37&lt;&gt;"",$E37&lt;=AF$5+6,$F37&gt;=AF$5),"■","")</x:f>
      </x:c>
      <x:c r="AG37" s="372" t="str">
        <x:f>IF(AND($E37&lt;&gt;"",$E37&lt;=AG$5+6,$F37&gt;=AG$5),"■","")</x:f>
      </x:c>
      <x:c r="AH37" s="373" t="str">
        <x:f>IF(AND($E37&lt;&gt;"",$E37&lt;=AH$5+6,$F37&gt;=AH$5),"■","")</x:f>
      </x:c>
    </x:row>
    <x:row r="38" ht="38" customHeight="1">
      <x:c r="A38" s="465" t="str">
        <x:f>'作業計画'!A38</x:f>
        <x:v>00032</x:v>
      </x:c>
      <x:c r="B38" s="192" t="str">
        <x:f>'作業計画'!B38</x:f>
        <x:v>02.要件・設計</x:v>
      </x:c>
      <x:c r="C38" s="48" t="str">
        <x:f>'作業計画'!C38</x:f>
        <x:v>Product：基本設計・詳細設計</x:v>
      </x:c>
      <x:c r="D38" s="48" t="str">
        <x:f>'作業計画'!D38</x:f>
        <x:v>設計担当（要確定）</x:v>
      </x:c>
      <x:c r="E38" s="345" t="n">
        <x:f>IF('作業計画'!O38="","",'作業計画'!O38)</x:f>
        <x:v>46351</x:v>
      </x:c>
      <x:c r="F38" s="345" t="n">
        <x:f>IF('作業計画'!P38="","",'作業計画'!P38)</x:f>
        <x:v>46353</x:v>
      </x:c>
      <x:c r="G38" s="353" t="n">
        <x:f>'作業計画'!U38</x:f>
        <x:v>0</x:v>
      </x:c>
      <x:c r="H38" s="48" t="str">
        <x:f>'作業計画'!V38</x:f>
        <x:v>予定前</x:v>
      </x:c>
      <x:c r="I38" s="370" t="str">
        <x:f>IF(AND($E38&lt;&gt;"",$E38&lt;=I$5+6,$F38&gt;=I$5),"■","")</x:f>
      </x:c>
      <x:c r="J38" s="370" t="str">
        <x:f>IF(AND($E38&lt;&gt;"",$E38&lt;=J$5+6,$F38&gt;=J$5),"■","")</x:f>
      </x:c>
      <x:c r="K38" s="370" t="str">
        <x:f>IF(AND($E38&lt;&gt;"",$E38&lt;=K$5+6,$F38&gt;=K$5),"■","")</x:f>
      </x:c>
      <x:c r="L38" s="370" t="str">
        <x:f>IF(AND($E38&lt;&gt;"",$E38&lt;=L$5+6,$F38&gt;=L$5),"■","")</x:f>
      </x:c>
      <x:c r="M38" s="370" t="str">
        <x:f>IF(AND($E38&lt;&gt;"",$E38&lt;=M$5+6,$F38&gt;=M$5),"■","")</x:f>
      </x:c>
      <x:c r="N38" s="370" t="str">
        <x:f>IF(AND($E38&lt;&gt;"",$E38&lt;=N$5+6,$F38&gt;=N$5),"■","")</x:f>
        <x:v>■</x:v>
      </x:c>
      <x:c r="O38" s="370" t="str">
        <x:f>IF(AND($E38&lt;&gt;"",$E38&lt;=O$5+6,$F38&gt;=O$5),"■","")</x:f>
      </x:c>
      <x:c r="P38" s="370" t="str">
        <x:f>IF(AND($E38&lt;&gt;"",$E38&lt;=P$5+6,$F38&gt;=P$5),"■","")</x:f>
      </x:c>
      <x:c r="Q38" s="370" t="str">
        <x:f>IF(AND($E38&lt;&gt;"",$E38&lt;=Q$5+6,$F38&gt;=Q$5),"■","")</x:f>
      </x:c>
      <x:c r="R38" s="370" t="str">
        <x:f>IF(AND($E38&lt;&gt;"",$E38&lt;=R$5+6,$F38&gt;=R$5),"■","")</x:f>
      </x:c>
      <x:c r="S38" s="370" t="str">
        <x:f>IF(AND($E38&lt;&gt;"",$E38&lt;=S$5+6,$F38&gt;=S$5),"■","")</x:f>
      </x:c>
      <x:c r="T38" s="370" t="str">
        <x:f>IF(AND($E38&lt;&gt;"",$E38&lt;=T$5+6,$F38&gt;=T$5),"■","")</x:f>
      </x:c>
      <x:c r="U38" s="370" t="str">
        <x:f>IF(AND($E38&lt;&gt;"",$E38&lt;=U$5+6,$F38&gt;=U$5),"■","")</x:f>
      </x:c>
      <x:c r="V38" s="370" t="str">
        <x:f>IF(AND($E38&lt;&gt;"",$E38&lt;=V$5+6,$F38&gt;=V$5),"■","")</x:f>
      </x:c>
      <x:c r="W38" s="370" t="str">
        <x:f>IF(AND($E38&lt;&gt;"",$E38&lt;=W$5+6,$F38&gt;=W$5),"■","")</x:f>
      </x:c>
      <x:c r="X38" s="370" t="str">
        <x:f>IF(AND($E38&lt;&gt;"",$E38&lt;=X$5+6,$F38&gt;=X$5),"■","")</x:f>
      </x:c>
      <x:c r="Y38" s="370" t="str">
        <x:f>IF(AND($E38&lt;&gt;"",$E38&lt;=Y$5+6,$F38&gt;=Y$5),"■","")</x:f>
      </x:c>
      <x:c r="Z38" s="370" t="str">
        <x:f>IF(AND($E38&lt;&gt;"",$E38&lt;=Z$5+6,$F38&gt;=Z$5),"■","")</x:f>
      </x:c>
      <x:c r="AA38" s="370" t="str">
        <x:f>IF(AND($E38&lt;&gt;"",$E38&lt;=AA$5+6,$F38&gt;=AA$5),"■","")</x:f>
      </x:c>
      <x:c r="AB38" s="370" t="str">
        <x:f>IF(AND($E38&lt;&gt;"",$E38&lt;=AB$5+6,$F38&gt;=AB$5),"■","")</x:f>
      </x:c>
      <x:c r="AC38" s="370" t="str">
        <x:f>IF(AND($E38&lt;&gt;"",$E38&lt;=AC$5+6,$F38&gt;=AC$5),"■","")</x:f>
      </x:c>
      <x:c r="AD38" s="370" t="str">
        <x:f>IF(AND($E38&lt;&gt;"",$E38&lt;=AD$5+6,$F38&gt;=AD$5),"■","")</x:f>
      </x:c>
      <x:c r="AE38" s="370" t="str">
        <x:f>IF(AND($E38&lt;&gt;"",$E38&lt;=AE$5+6,$F38&gt;=AE$5),"■","")</x:f>
      </x:c>
      <x:c r="AF38" s="370" t="str">
        <x:f>IF(AND($E38&lt;&gt;"",$E38&lt;=AF$5+6,$F38&gt;=AF$5),"■","")</x:f>
      </x:c>
      <x:c r="AG38" s="370" t="str">
        <x:f>IF(AND($E38&lt;&gt;"",$E38&lt;=AG$5+6,$F38&gt;=AG$5),"■","")</x:f>
      </x:c>
      <x:c r="AH38" s="371" t="str">
        <x:f>IF(AND($E38&lt;&gt;"",$E38&lt;=AH$5+6,$F38&gt;=AH$5),"■","")</x:f>
      </x:c>
    </x:row>
    <x:row r="39" ht="38" customHeight="1">
      <x:c r="A39" s="466" t="str">
        <x:f>'作業計画'!A39</x:f>
        <x:v>00033</x:v>
      </x:c>
      <x:c r="B39" s="192" t="str">
        <x:f>'作業計画'!B39</x:f>
        <x:v>02.要件・設計</x:v>
      </x:c>
      <x:c r="C39" s="56" t="str">
        <x:f>'作業計画'!C39</x:f>
        <x:v>Contact：基本設計・詳細設計</x:v>
      </x:c>
      <x:c r="D39" s="56" t="str">
        <x:f>'作業計画'!D39</x:f>
        <x:v>設計担当（要確定）</x:v>
      </x:c>
      <x:c r="E39" s="346" t="n">
        <x:f>IF('作業計画'!O39="","",'作業計画'!O39)</x:f>
        <x:v>46351</x:v>
      </x:c>
      <x:c r="F39" s="346" t="n">
        <x:f>IF('作業計画'!P39="","",'作業計画'!P39)</x:f>
        <x:v>46353</x:v>
      </x:c>
      <x:c r="G39" s="354" t="n">
        <x:f>'作業計画'!U39</x:f>
        <x:v>0</x:v>
      </x:c>
      <x:c r="H39" s="56" t="str">
        <x:f>'作業計画'!V39</x:f>
        <x:v>予定前</x:v>
      </x:c>
      <x:c r="I39" s="372" t="str">
        <x:f>IF(AND($E39&lt;&gt;"",$E39&lt;=I$5+6,$F39&gt;=I$5),"■","")</x:f>
      </x:c>
      <x:c r="J39" s="372" t="str">
        <x:f>IF(AND($E39&lt;&gt;"",$E39&lt;=J$5+6,$F39&gt;=J$5),"■","")</x:f>
      </x:c>
      <x:c r="K39" s="372" t="str">
        <x:f>IF(AND($E39&lt;&gt;"",$E39&lt;=K$5+6,$F39&gt;=K$5),"■","")</x:f>
      </x:c>
      <x:c r="L39" s="372" t="str">
        <x:f>IF(AND($E39&lt;&gt;"",$E39&lt;=L$5+6,$F39&gt;=L$5),"■","")</x:f>
      </x:c>
      <x:c r="M39" s="372" t="str">
        <x:f>IF(AND($E39&lt;&gt;"",$E39&lt;=M$5+6,$F39&gt;=M$5),"■","")</x:f>
      </x:c>
      <x:c r="N39" s="372" t="str">
        <x:f>IF(AND($E39&lt;&gt;"",$E39&lt;=N$5+6,$F39&gt;=N$5),"■","")</x:f>
        <x:v>■</x:v>
      </x:c>
      <x:c r="O39" s="372" t="str">
        <x:f>IF(AND($E39&lt;&gt;"",$E39&lt;=O$5+6,$F39&gt;=O$5),"■","")</x:f>
      </x:c>
      <x:c r="P39" s="372" t="str">
        <x:f>IF(AND($E39&lt;&gt;"",$E39&lt;=P$5+6,$F39&gt;=P$5),"■","")</x:f>
      </x:c>
      <x:c r="Q39" s="372" t="str">
        <x:f>IF(AND($E39&lt;&gt;"",$E39&lt;=Q$5+6,$F39&gt;=Q$5),"■","")</x:f>
      </x:c>
      <x:c r="R39" s="372" t="str">
        <x:f>IF(AND($E39&lt;&gt;"",$E39&lt;=R$5+6,$F39&gt;=R$5),"■","")</x:f>
      </x:c>
      <x:c r="S39" s="372" t="str">
        <x:f>IF(AND($E39&lt;&gt;"",$E39&lt;=S$5+6,$F39&gt;=S$5),"■","")</x:f>
      </x:c>
      <x:c r="T39" s="372" t="str">
        <x:f>IF(AND($E39&lt;&gt;"",$E39&lt;=T$5+6,$F39&gt;=T$5),"■","")</x:f>
      </x:c>
      <x:c r="U39" s="372" t="str">
        <x:f>IF(AND($E39&lt;&gt;"",$E39&lt;=U$5+6,$F39&gt;=U$5),"■","")</x:f>
      </x:c>
      <x:c r="V39" s="372" t="str">
        <x:f>IF(AND($E39&lt;&gt;"",$E39&lt;=V$5+6,$F39&gt;=V$5),"■","")</x:f>
      </x:c>
      <x:c r="W39" s="372" t="str">
        <x:f>IF(AND($E39&lt;&gt;"",$E39&lt;=W$5+6,$F39&gt;=W$5),"■","")</x:f>
      </x:c>
      <x:c r="X39" s="372" t="str">
        <x:f>IF(AND($E39&lt;&gt;"",$E39&lt;=X$5+6,$F39&gt;=X$5),"■","")</x:f>
      </x:c>
      <x:c r="Y39" s="372" t="str">
        <x:f>IF(AND($E39&lt;&gt;"",$E39&lt;=Y$5+6,$F39&gt;=Y$5),"■","")</x:f>
      </x:c>
      <x:c r="Z39" s="372" t="str">
        <x:f>IF(AND($E39&lt;&gt;"",$E39&lt;=Z$5+6,$F39&gt;=Z$5),"■","")</x:f>
      </x:c>
      <x:c r="AA39" s="372" t="str">
        <x:f>IF(AND($E39&lt;&gt;"",$E39&lt;=AA$5+6,$F39&gt;=AA$5),"■","")</x:f>
      </x:c>
      <x:c r="AB39" s="372" t="str">
        <x:f>IF(AND($E39&lt;&gt;"",$E39&lt;=AB$5+6,$F39&gt;=AB$5),"■","")</x:f>
      </x:c>
      <x:c r="AC39" s="372" t="str">
        <x:f>IF(AND($E39&lt;&gt;"",$E39&lt;=AC$5+6,$F39&gt;=AC$5),"■","")</x:f>
      </x:c>
      <x:c r="AD39" s="372" t="str">
        <x:f>IF(AND($E39&lt;&gt;"",$E39&lt;=AD$5+6,$F39&gt;=AD$5),"■","")</x:f>
      </x:c>
      <x:c r="AE39" s="372" t="str">
        <x:f>IF(AND($E39&lt;&gt;"",$E39&lt;=AE$5+6,$F39&gt;=AE$5),"■","")</x:f>
      </x:c>
      <x:c r="AF39" s="372" t="str">
        <x:f>IF(AND($E39&lt;&gt;"",$E39&lt;=AF$5+6,$F39&gt;=AF$5),"■","")</x:f>
      </x:c>
      <x:c r="AG39" s="372" t="str">
        <x:f>IF(AND($E39&lt;&gt;"",$E39&lt;=AG$5+6,$F39&gt;=AG$5),"■","")</x:f>
      </x:c>
      <x:c r="AH39" s="373" t="str">
        <x:f>IF(AND($E39&lt;&gt;"",$E39&lt;=AH$5+6,$F39&gt;=AH$5),"■","")</x:f>
      </x:c>
    </x:row>
    <x:row r="40" ht="38" customHeight="1">
      <x:c r="A40" s="465" t="str">
        <x:f>'作業計画'!A40</x:f>
        <x:v>00034</x:v>
      </x:c>
      <x:c r="B40" s="192" t="str">
        <x:f>'作業計画'!B40</x:f>
        <x:v>02.要件・設計</x:v>
      </x:c>
      <x:c r="C40" s="48" t="str">
        <x:f>'作業計画'!C40</x:f>
        <x:v>Account：基本設計・詳細設計</x:v>
      </x:c>
      <x:c r="D40" s="48" t="str">
        <x:f>'作業計画'!D40</x:f>
        <x:v>設計担当（要確定）</x:v>
      </x:c>
      <x:c r="E40" s="345" t="n">
        <x:f>IF('作業計画'!O40="","",'作業計画'!O40)</x:f>
        <x:v>46351</x:v>
      </x:c>
      <x:c r="F40" s="345" t="n">
        <x:f>IF('作業計画'!P40="","",'作業計画'!P40)</x:f>
        <x:v>46353</x:v>
      </x:c>
      <x:c r="G40" s="353" t="n">
        <x:f>'作業計画'!U40</x:f>
        <x:v>0</x:v>
      </x:c>
      <x:c r="H40" s="48" t="str">
        <x:f>'作業計画'!V40</x:f>
        <x:v>予定前</x:v>
      </x:c>
      <x:c r="I40" s="370" t="str">
        <x:f>IF(AND($E40&lt;&gt;"",$E40&lt;=I$5+6,$F40&gt;=I$5),"■","")</x:f>
      </x:c>
      <x:c r="J40" s="370" t="str">
        <x:f>IF(AND($E40&lt;&gt;"",$E40&lt;=J$5+6,$F40&gt;=J$5),"■","")</x:f>
      </x:c>
      <x:c r="K40" s="370" t="str">
        <x:f>IF(AND($E40&lt;&gt;"",$E40&lt;=K$5+6,$F40&gt;=K$5),"■","")</x:f>
      </x:c>
      <x:c r="L40" s="370" t="str">
        <x:f>IF(AND($E40&lt;&gt;"",$E40&lt;=L$5+6,$F40&gt;=L$5),"■","")</x:f>
      </x:c>
      <x:c r="M40" s="370" t="str">
        <x:f>IF(AND($E40&lt;&gt;"",$E40&lt;=M$5+6,$F40&gt;=M$5),"■","")</x:f>
      </x:c>
      <x:c r="N40" s="370" t="str">
        <x:f>IF(AND($E40&lt;&gt;"",$E40&lt;=N$5+6,$F40&gt;=N$5),"■","")</x:f>
        <x:v>■</x:v>
      </x:c>
      <x:c r="O40" s="370" t="str">
        <x:f>IF(AND($E40&lt;&gt;"",$E40&lt;=O$5+6,$F40&gt;=O$5),"■","")</x:f>
      </x:c>
      <x:c r="P40" s="370" t="str">
        <x:f>IF(AND($E40&lt;&gt;"",$E40&lt;=P$5+6,$F40&gt;=P$5),"■","")</x:f>
      </x:c>
      <x:c r="Q40" s="370" t="str">
        <x:f>IF(AND($E40&lt;&gt;"",$E40&lt;=Q$5+6,$F40&gt;=Q$5),"■","")</x:f>
      </x:c>
      <x:c r="R40" s="370" t="str">
        <x:f>IF(AND($E40&lt;&gt;"",$E40&lt;=R$5+6,$F40&gt;=R$5),"■","")</x:f>
      </x:c>
      <x:c r="S40" s="370" t="str">
        <x:f>IF(AND($E40&lt;&gt;"",$E40&lt;=S$5+6,$F40&gt;=S$5),"■","")</x:f>
      </x:c>
      <x:c r="T40" s="370" t="str">
        <x:f>IF(AND($E40&lt;&gt;"",$E40&lt;=T$5+6,$F40&gt;=T$5),"■","")</x:f>
      </x:c>
      <x:c r="U40" s="370" t="str">
        <x:f>IF(AND($E40&lt;&gt;"",$E40&lt;=U$5+6,$F40&gt;=U$5),"■","")</x:f>
      </x:c>
      <x:c r="V40" s="370" t="str">
        <x:f>IF(AND($E40&lt;&gt;"",$E40&lt;=V$5+6,$F40&gt;=V$5),"■","")</x:f>
      </x:c>
      <x:c r="W40" s="370" t="str">
        <x:f>IF(AND($E40&lt;&gt;"",$E40&lt;=W$5+6,$F40&gt;=W$5),"■","")</x:f>
      </x:c>
      <x:c r="X40" s="370" t="str">
        <x:f>IF(AND($E40&lt;&gt;"",$E40&lt;=X$5+6,$F40&gt;=X$5),"■","")</x:f>
      </x:c>
      <x:c r="Y40" s="370" t="str">
        <x:f>IF(AND($E40&lt;&gt;"",$E40&lt;=Y$5+6,$F40&gt;=Y$5),"■","")</x:f>
      </x:c>
      <x:c r="Z40" s="370" t="str">
        <x:f>IF(AND($E40&lt;&gt;"",$E40&lt;=Z$5+6,$F40&gt;=Z$5),"■","")</x:f>
      </x:c>
      <x:c r="AA40" s="370" t="str">
        <x:f>IF(AND($E40&lt;&gt;"",$E40&lt;=AA$5+6,$F40&gt;=AA$5),"■","")</x:f>
      </x:c>
      <x:c r="AB40" s="370" t="str">
        <x:f>IF(AND($E40&lt;&gt;"",$E40&lt;=AB$5+6,$F40&gt;=AB$5),"■","")</x:f>
      </x:c>
      <x:c r="AC40" s="370" t="str">
        <x:f>IF(AND($E40&lt;&gt;"",$E40&lt;=AC$5+6,$F40&gt;=AC$5),"■","")</x:f>
      </x:c>
      <x:c r="AD40" s="370" t="str">
        <x:f>IF(AND($E40&lt;&gt;"",$E40&lt;=AD$5+6,$F40&gt;=AD$5),"■","")</x:f>
      </x:c>
      <x:c r="AE40" s="370" t="str">
        <x:f>IF(AND($E40&lt;&gt;"",$E40&lt;=AE$5+6,$F40&gt;=AE$5),"■","")</x:f>
      </x:c>
      <x:c r="AF40" s="370" t="str">
        <x:f>IF(AND($E40&lt;&gt;"",$E40&lt;=AF$5+6,$F40&gt;=AF$5),"■","")</x:f>
      </x:c>
      <x:c r="AG40" s="370" t="str">
        <x:f>IF(AND($E40&lt;&gt;"",$E40&lt;=AG$5+6,$F40&gt;=AG$5),"■","")</x:f>
      </x:c>
      <x:c r="AH40" s="371" t="str">
        <x:f>IF(AND($E40&lt;&gt;"",$E40&lt;=AH$5+6,$F40&gt;=AH$5),"■","")</x:f>
      </x:c>
    </x:row>
    <x:row r="41" ht="38" customHeight="1">
      <x:c r="A41" s="466" t="str">
        <x:f>'作業計画'!A41</x:f>
        <x:v>00035</x:v>
      </x:c>
      <x:c r="B41" s="192" t="str">
        <x:f>'作業計画'!B41</x:f>
        <x:v>02.要件・設計</x:v>
      </x:c>
      <x:c r="C41" s="56" t="str">
        <x:f>'作業計画'!C41</x:f>
        <x:v>AccountContact：基本設計・詳細設計</x:v>
      </x:c>
      <x:c r="D41" s="56" t="str">
        <x:f>'作業計画'!D41</x:f>
        <x:v>設計担当（要確定）</x:v>
      </x:c>
      <x:c r="E41" s="346" t="n">
        <x:f>IF('作業計画'!O41="","",'作業計画'!O41)</x:f>
        <x:v>46356</x:v>
      </x:c>
      <x:c r="F41" s="346" t="n">
        <x:f>IF('作業計画'!P41="","",'作業計画'!P41)</x:f>
        <x:v>46358</x:v>
      </x:c>
      <x:c r="G41" s="354" t="n">
        <x:f>'作業計画'!U41</x:f>
        <x:v>0</x:v>
      </x:c>
      <x:c r="H41" s="56" t="str">
        <x:f>'作業計画'!V41</x:f>
        <x:v>予定前</x:v>
      </x:c>
      <x:c r="I41" s="372" t="str">
        <x:f>IF(AND($E41&lt;&gt;"",$E41&lt;=I$5+6,$F41&gt;=I$5),"■","")</x:f>
      </x:c>
      <x:c r="J41" s="372" t="str">
        <x:f>IF(AND($E41&lt;&gt;"",$E41&lt;=J$5+6,$F41&gt;=J$5),"■","")</x:f>
      </x:c>
      <x:c r="K41" s="372" t="str">
        <x:f>IF(AND($E41&lt;&gt;"",$E41&lt;=K$5+6,$F41&gt;=K$5),"■","")</x:f>
      </x:c>
      <x:c r="L41" s="372" t="str">
        <x:f>IF(AND($E41&lt;&gt;"",$E41&lt;=L$5+6,$F41&gt;=L$5),"■","")</x:f>
      </x:c>
      <x:c r="M41" s="372" t="str">
        <x:f>IF(AND($E41&lt;&gt;"",$E41&lt;=M$5+6,$F41&gt;=M$5),"■","")</x:f>
      </x:c>
      <x:c r="N41" s="372" t="str">
        <x:f>IF(AND($E41&lt;&gt;"",$E41&lt;=N$5+6,$F41&gt;=N$5),"■","")</x:f>
      </x:c>
      <x:c r="O41" s="372" t="str">
        <x:f>IF(AND($E41&lt;&gt;"",$E41&lt;=O$5+6,$F41&gt;=O$5),"■","")</x:f>
        <x:v>■</x:v>
      </x:c>
      <x:c r="P41" s="372" t="str">
        <x:f>IF(AND($E41&lt;&gt;"",$E41&lt;=P$5+6,$F41&gt;=P$5),"■","")</x:f>
      </x:c>
      <x:c r="Q41" s="372" t="str">
        <x:f>IF(AND($E41&lt;&gt;"",$E41&lt;=Q$5+6,$F41&gt;=Q$5),"■","")</x:f>
      </x:c>
      <x:c r="R41" s="372" t="str">
        <x:f>IF(AND($E41&lt;&gt;"",$E41&lt;=R$5+6,$F41&gt;=R$5),"■","")</x:f>
      </x:c>
      <x:c r="S41" s="372" t="str">
        <x:f>IF(AND($E41&lt;&gt;"",$E41&lt;=S$5+6,$F41&gt;=S$5),"■","")</x:f>
      </x:c>
      <x:c r="T41" s="372" t="str">
        <x:f>IF(AND($E41&lt;&gt;"",$E41&lt;=T$5+6,$F41&gt;=T$5),"■","")</x:f>
      </x:c>
      <x:c r="U41" s="372" t="str">
        <x:f>IF(AND($E41&lt;&gt;"",$E41&lt;=U$5+6,$F41&gt;=U$5),"■","")</x:f>
      </x:c>
      <x:c r="V41" s="372" t="str">
        <x:f>IF(AND($E41&lt;&gt;"",$E41&lt;=V$5+6,$F41&gt;=V$5),"■","")</x:f>
      </x:c>
      <x:c r="W41" s="372" t="str">
        <x:f>IF(AND($E41&lt;&gt;"",$E41&lt;=W$5+6,$F41&gt;=W$5),"■","")</x:f>
      </x:c>
      <x:c r="X41" s="372" t="str">
        <x:f>IF(AND($E41&lt;&gt;"",$E41&lt;=X$5+6,$F41&gt;=X$5),"■","")</x:f>
      </x:c>
      <x:c r="Y41" s="372" t="str">
        <x:f>IF(AND($E41&lt;&gt;"",$E41&lt;=Y$5+6,$F41&gt;=Y$5),"■","")</x:f>
      </x:c>
      <x:c r="Z41" s="372" t="str">
        <x:f>IF(AND($E41&lt;&gt;"",$E41&lt;=Z$5+6,$F41&gt;=Z$5),"■","")</x:f>
      </x:c>
      <x:c r="AA41" s="372" t="str">
        <x:f>IF(AND($E41&lt;&gt;"",$E41&lt;=AA$5+6,$F41&gt;=AA$5),"■","")</x:f>
      </x:c>
      <x:c r="AB41" s="372" t="str">
        <x:f>IF(AND($E41&lt;&gt;"",$E41&lt;=AB$5+6,$F41&gt;=AB$5),"■","")</x:f>
      </x:c>
      <x:c r="AC41" s="372" t="str">
        <x:f>IF(AND($E41&lt;&gt;"",$E41&lt;=AC$5+6,$F41&gt;=AC$5),"■","")</x:f>
      </x:c>
      <x:c r="AD41" s="372" t="str">
        <x:f>IF(AND($E41&lt;&gt;"",$E41&lt;=AD$5+6,$F41&gt;=AD$5),"■","")</x:f>
      </x:c>
      <x:c r="AE41" s="372" t="str">
        <x:f>IF(AND($E41&lt;&gt;"",$E41&lt;=AE$5+6,$F41&gt;=AE$5),"■","")</x:f>
      </x:c>
      <x:c r="AF41" s="372" t="str">
        <x:f>IF(AND($E41&lt;&gt;"",$E41&lt;=AF$5+6,$F41&gt;=AF$5),"■","")</x:f>
      </x:c>
      <x:c r="AG41" s="372" t="str">
        <x:f>IF(AND($E41&lt;&gt;"",$E41&lt;=AG$5+6,$F41&gt;=AG$5),"■","")</x:f>
      </x:c>
      <x:c r="AH41" s="373" t="str">
        <x:f>IF(AND($E41&lt;&gt;"",$E41&lt;=AH$5+6,$F41&gt;=AH$5),"■","")</x:f>
      </x:c>
    </x:row>
    <x:row r="42" ht="38" customHeight="1">
      <x:c r="A42" s="465" t="str">
        <x:f>'作業計画'!A42</x:f>
        <x:v>00036</x:v>
      </x:c>
      <x:c r="B42" s="192" t="str">
        <x:f>'作業計画'!B42</x:f>
        <x:v>02.要件・設計</x:v>
      </x:c>
      <x:c r="C42" s="48" t="str">
        <x:f>'作業計画'!C42</x:f>
        <x:v>SalesRepHospital：基本設計・詳細設計</x:v>
      </x:c>
      <x:c r="D42" s="48" t="str">
        <x:f>'作業計画'!D42</x:f>
        <x:v>設計担当（要確定）</x:v>
      </x:c>
      <x:c r="E42" s="345" t="n">
        <x:f>IF('作業計画'!O42="","",'作業計画'!O42)</x:f>
        <x:v>46359</x:v>
      </x:c>
      <x:c r="F42" s="345" t="n">
        <x:f>IF('作業計画'!P42="","",'作業計画'!P42)</x:f>
        <x:v>46363</x:v>
      </x:c>
      <x:c r="G42" s="353" t="n">
        <x:f>'作業計画'!U42</x:f>
        <x:v>0</x:v>
      </x:c>
      <x:c r="H42" s="48" t="str">
        <x:f>'作業計画'!V42</x:f>
        <x:v>予定前</x:v>
      </x:c>
      <x:c r="I42" s="370" t="str">
        <x:f>IF(AND($E42&lt;&gt;"",$E42&lt;=I$5+6,$F42&gt;=I$5),"■","")</x:f>
      </x:c>
      <x:c r="J42" s="370" t="str">
        <x:f>IF(AND($E42&lt;&gt;"",$E42&lt;=J$5+6,$F42&gt;=J$5),"■","")</x:f>
      </x:c>
      <x:c r="K42" s="370" t="str">
        <x:f>IF(AND($E42&lt;&gt;"",$E42&lt;=K$5+6,$F42&gt;=K$5),"■","")</x:f>
      </x:c>
      <x:c r="L42" s="370" t="str">
        <x:f>IF(AND($E42&lt;&gt;"",$E42&lt;=L$5+6,$F42&gt;=L$5),"■","")</x:f>
      </x:c>
      <x:c r="M42" s="370" t="str">
        <x:f>IF(AND($E42&lt;&gt;"",$E42&lt;=M$5+6,$F42&gt;=M$5),"■","")</x:f>
      </x:c>
      <x:c r="N42" s="370" t="str">
        <x:f>IF(AND($E42&lt;&gt;"",$E42&lt;=N$5+6,$F42&gt;=N$5),"■","")</x:f>
      </x:c>
      <x:c r="O42" s="370" t="str">
        <x:f>IF(AND($E42&lt;&gt;"",$E42&lt;=O$5+6,$F42&gt;=O$5),"■","")</x:f>
        <x:v>■</x:v>
      </x:c>
      <x:c r="P42" s="370" t="str">
        <x:f>IF(AND($E42&lt;&gt;"",$E42&lt;=P$5+6,$F42&gt;=P$5),"■","")</x:f>
        <x:v>■</x:v>
      </x:c>
      <x:c r="Q42" s="370" t="str">
        <x:f>IF(AND($E42&lt;&gt;"",$E42&lt;=Q$5+6,$F42&gt;=Q$5),"■","")</x:f>
      </x:c>
      <x:c r="R42" s="370" t="str">
        <x:f>IF(AND($E42&lt;&gt;"",$E42&lt;=R$5+6,$F42&gt;=R$5),"■","")</x:f>
      </x:c>
      <x:c r="S42" s="370" t="str">
        <x:f>IF(AND($E42&lt;&gt;"",$E42&lt;=S$5+6,$F42&gt;=S$5),"■","")</x:f>
      </x:c>
      <x:c r="T42" s="370" t="str">
        <x:f>IF(AND($E42&lt;&gt;"",$E42&lt;=T$5+6,$F42&gt;=T$5),"■","")</x:f>
      </x:c>
      <x:c r="U42" s="370" t="str">
        <x:f>IF(AND($E42&lt;&gt;"",$E42&lt;=U$5+6,$F42&gt;=U$5),"■","")</x:f>
      </x:c>
      <x:c r="V42" s="370" t="str">
        <x:f>IF(AND($E42&lt;&gt;"",$E42&lt;=V$5+6,$F42&gt;=V$5),"■","")</x:f>
      </x:c>
      <x:c r="W42" s="370" t="str">
        <x:f>IF(AND($E42&lt;&gt;"",$E42&lt;=W$5+6,$F42&gt;=W$5),"■","")</x:f>
      </x:c>
      <x:c r="X42" s="370" t="str">
        <x:f>IF(AND($E42&lt;&gt;"",$E42&lt;=X$5+6,$F42&gt;=X$5),"■","")</x:f>
      </x:c>
      <x:c r="Y42" s="370" t="str">
        <x:f>IF(AND($E42&lt;&gt;"",$E42&lt;=Y$5+6,$F42&gt;=Y$5),"■","")</x:f>
      </x:c>
      <x:c r="Z42" s="370" t="str">
        <x:f>IF(AND($E42&lt;&gt;"",$E42&lt;=Z$5+6,$F42&gt;=Z$5),"■","")</x:f>
      </x:c>
      <x:c r="AA42" s="370" t="str">
        <x:f>IF(AND($E42&lt;&gt;"",$E42&lt;=AA$5+6,$F42&gt;=AA$5),"■","")</x:f>
      </x:c>
      <x:c r="AB42" s="370" t="str">
        <x:f>IF(AND($E42&lt;&gt;"",$E42&lt;=AB$5+6,$F42&gt;=AB$5),"■","")</x:f>
      </x:c>
      <x:c r="AC42" s="370" t="str">
        <x:f>IF(AND($E42&lt;&gt;"",$E42&lt;=AC$5+6,$F42&gt;=AC$5),"■","")</x:f>
      </x:c>
      <x:c r="AD42" s="370" t="str">
        <x:f>IF(AND($E42&lt;&gt;"",$E42&lt;=AD$5+6,$F42&gt;=AD$5),"■","")</x:f>
      </x:c>
      <x:c r="AE42" s="370" t="str">
        <x:f>IF(AND($E42&lt;&gt;"",$E42&lt;=AE$5+6,$F42&gt;=AE$5),"■","")</x:f>
      </x:c>
      <x:c r="AF42" s="370" t="str">
        <x:f>IF(AND($E42&lt;&gt;"",$E42&lt;=AF$5+6,$F42&gt;=AF$5),"■","")</x:f>
      </x:c>
      <x:c r="AG42" s="370" t="str">
        <x:f>IF(AND($E42&lt;&gt;"",$E42&lt;=AG$5+6,$F42&gt;=AG$5),"■","")</x:f>
      </x:c>
      <x:c r="AH42" s="371" t="str">
        <x:f>IF(AND($E42&lt;&gt;"",$E42&lt;=AH$5+6,$F42&gt;=AH$5),"■","")</x:f>
      </x:c>
    </x:row>
    <x:row r="43" ht="38" customHeight="1">
      <x:c r="A43" s="466" t="str">
        <x:f>'作業計画'!A43</x:f>
        <x:v>00037</x:v>
      </x:c>
      <x:c r="B43" s="198" t="str">
        <x:f>'作業計画'!B43</x:f>
        <x:v>04.開発</x:v>
      </x:c>
      <x:c r="C43" s="56" t="str">
        <x:f>'作業計画'!C43</x:f>
        <x:v>QAワークスペース作成・権限付与</x:v>
      </x:c>
      <x:c r="D43" s="56" t="str">
        <x:f>'作業計画'!D43</x:f>
        <x:v>基盤担当（要確定）</x:v>
      </x:c>
      <x:c r="E43" s="346" t="n">
        <x:f>IF('作業計画'!O43="","",'作業計画'!O43)</x:f>
        <x:v>46342</x:v>
      </x:c>
      <x:c r="F43" s="346" t="n">
        <x:f>IF('作業計画'!P43="","",'作業計画'!P43)</x:f>
        <x:v>46343</x:v>
      </x:c>
      <x:c r="G43" s="354" t="n">
        <x:f>'作業計画'!U43</x:f>
        <x:v>0</x:v>
      </x:c>
      <x:c r="H43" s="56" t="str">
        <x:f>'作業計画'!V43</x:f>
        <x:v>予定前</x:v>
      </x:c>
      <x:c r="I43" s="372" t="str">
        <x:f>IF(AND($E43&lt;&gt;"",$E43&lt;=I$5+6,$F43&gt;=I$5),"■","")</x:f>
      </x:c>
      <x:c r="J43" s="372" t="str">
        <x:f>IF(AND($E43&lt;&gt;"",$E43&lt;=J$5+6,$F43&gt;=J$5),"■","")</x:f>
      </x:c>
      <x:c r="K43" s="372" t="str">
        <x:f>IF(AND($E43&lt;&gt;"",$E43&lt;=K$5+6,$F43&gt;=K$5),"■","")</x:f>
      </x:c>
      <x:c r="L43" s="372" t="str">
        <x:f>IF(AND($E43&lt;&gt;"",$E43&lt;=L$5+6,$F43&gt;=L$5),"■","")</x:f>
      </x:c>
      <x:c r="M43" s="372" t="str">
        <x:f>IF(AND($E43&lt;&gt;"",$E43&lt;=M$5+6,$F43&gt;=M$5),"■","")</x:f>
        <x:v>■</x:v>
      </x:c>
      <x:c r="N43" s="372" t="str">
        <x:f>IF(AND($E43&lt;&gt;"",$E43&lt;=N$5+6,$F43&gt;=N$5),"■","")</x:f>
      </x:c>
      <x:c r="O43" s="372" t="str">
        <x:f>IF(AND($E43&lt;&gt;"",$E43&lt;=O$5+6,$F43&gt;=O$5),"■","")</x:f>
      </x:c>
      <x:c r="P43" s="372" t="str">
        <x:f>IF(AND($E43&lt;&gt;"",$E43&lt;=P$5+6,$F43&gt;=P$5),"■","")</x:f>
      </x:c>
      <x:c r="Q43" s="372" t="str">
        <x:f>IF(AND($E43&lt;&gt;"",$E43&lt;=Q$5+6,$F43&gt;=Q$5),"■","")</x:f>
      </x:c>
      <x:c r="R43" s="372" t="str">
        <x:f>IF(AND($E43&lt;&gt;"",$E43&lt;=R$5+6,$F43&gt;=R$5),"■","")</x:f>
      </x:c>
      <x:c r="S43" s="372" t="str">
        <x:f>IF(AND($E43&lt;&gt;"",$E43&lt;=S$5+6,$F43&gt;=S$5),"■","")</x:f>
      </x:c>
      <x:c r="T43" s="372" t="str">
        <x:f>IF(AND($E43&lt;&gt;"",$E43&lt;=T$5+6,$F43&gt;=T$5),"■","")</x:f>
      </x:c>
      <x:c r="U43" s="372" t="str">
        <x:f>IF(AND($E43&lt;&gt;"",$E43&lt;=U$5+6,$F43&gt;=U$5),"■","")</x:f>
      </x:c>
      <x:c r="V43" s="372" t="str">
        <x:f>IF(AND($E43&lt;&gt;"",$E43&lt;=V$5+6,$F43&gt;=V$5),"■","")</x:f>
      </x:c>
      <x:c r="W43" s="372" t="str">
        <x:f>IF(AND($E43&lt;&gt;"",$E43&lt;=W$5+6,$F43&gt;=W$5),"■","")</x:f>
      </x:c>
      <x:c r="X43" s="372" t="str">
        <x:f>IF(AND($E43&lt;&gt;"",$E43&lt;=X$5+6,$F43&gt;=X$5),"■","")</x:f>
      </x:c>
      <x:c r="Y43" s="372" t="str">
        <x:f>IF(AND($E43&lt;&gt;"",$E43&lt;=Y$5+6,$F43&gt;=Y$5),"■","")</x:f>
      </x:c>
      <x:c r="Z43" s="372" t="str">
        <x:f>IF(AND($E43&lt;&gt;"",$E43&lt;=Z$5+6,$F43&gt;=Z$5),"■","")</x:f>
      </x:c>
      <x:c r="AA43" s="372" t="str">
        <x:f>IF(AND($E43&lt;&gt;"",$E43&lt;=AA$5+6,$F43&gt;=AA$5),"■","")</x:f>
      </x:c>
      <x:c r="AB43" s="372" t="str">
        <x:f>IF(AND($E43&lt;&gt;"",$E43&lt;=AB$5+6,$F43&gt;=AB$5),"■","")</x:f>
      </x:c>
      <x:c r="AC43" s="372" t="str">
        <x:f>IF(AND($E43&lt;&gt;"",$E43&lt;=AC$5+6,$F43&gt;=AC$5),"■","")</x:f>
      </x:c>
      <x:c r="AD43" s="372" t="str">
        <x:f>IF(AND($E43&lt;&gt;"",$E43&lt;=AD$5+6,$F43&gt;=AD$5),"■","")</x:f>
      </x:c>
      <x:c r="AE43" s="372" t="str">
        <x:f>IF(AND($E43&lt;&gt;"",$E43&lt;=AE$5+6,$F43&gt;=AE$5),"■","")</x:f>
      </x:c>
      <x:c r="AF43" s="372" t="str">
        <x:f>IF(AND($E43&lt;&gt;"",$E43&lt;=AF$5+6,$F43&gt;=AF$5),"■","")</x:f>
      </x:c>
      <x:c r="AG43" s="372" t="str">
        <x:f>IF(AND($E43&lt;&gt;"",$E43&lt;=AG$5+6,$F43&gt;=AG$5),"■","")</x:f>
      </x:c>
      <x:c r="AH43" s="373" t="str">
        <x:f>IF(AND($E43&lt;&gt;"",$E43&lt;=AH$5+6,$F43&gt;=AH$5),"■","")</x:f>
      </x:c>
    </x:row>
    <x:row r="44" ht="38" customHeight="1">
      <x:c r="A44" s="465" t="str">
        <x:f>'作業計画'!A44</x:f>
        <x:v>00038</x:v>
      </x:c>
      <x:c r="B44" s="198" t="str">
        <x:f>'作業計画'!B44</x:f>
        <x:v>04.開発</x:v>
      </x:c>
      <x:c r="C44" s="48" t="str">
        <x:f>'作業計画'!C44</x:f>
        <x:v>PRODワークスペース作成・権限付与</x:v>
      </x:c>
      <x:c r="D44" s="48" t="str">
        <x:f>'作業計画'!D44</x:f>
        <x:v>基盤担当（要確定）</x:v>
      </x:c>
      <x:c r="E44" s="345" t="n">
        <x:f>IF('作業計画'!O44="","",'作業計画'!O44)</x:f>
        <x:v>46344</x:v>
      </x:c>
      <x:c r="F44" s="345" t="n">
        <x:f>IF('作業計画'!P44="","",'作業計画'!P44)</x:f>
        <x:v>46345</x:v>
      </x:c>
      <x:c r="G44" s="353" t="n">
        <x:f>'作業計画'!U44</x:f>
        <x:v>0</x:v>
      </x:c>
      <x:c r="H44" s="48" t="str">
        <x:f>'作業計画'!V44</x:f>
        <x:v>予定前</x:v>
      </x:c>
      <x:c r="I44" s="370" t="str">
        <x:f>IF(AND($E44&lt;&gt;"",$E44&lt;=I$5+6,$F44&gt;=I$5),"■","")</x:f>
      </x:c>
      <x:c r="J44" s="370" t="str">
        <x:f>IF(AND($E44&lt;&gt;"",$E44&lt;=J$5+6,$F44&gt;=J$5),"■","")</x:f>
      </x:c>
      <x:c r="K44" s="370" t="str">
        <x:f>IF(AND($E44&lt;&gt;"",$E44&lt;=K$5+6,$F44&gt;=K$5),"■","")</x:f>
      </x:c>
      <x:c r="L44" s="370" t="str">
        <x:f>IF(AND($E44&lt;&gt;"",$E44&lt;=L$5+6,$F44&gt;=L$5),"■","")</x:f>
      </x:c>
      <x:c r="M44" s="370" t="str">
        <x:f>IF(AND($E44&lt;&gt;"",$E44&lt;=M$5+6,$F44&gt;=M$5),"■","")</x:f>
        <x:v>■</x:v>
      </x:c>
      <x:c r="N44" s="370" t="str">
        <x:f>IF(AND($E44&lt;&gt;"",$E44&lt;=N$5+6,$F44&gt;=N$5),"■","")</x:f>
      </x:c>
      <x:c r="O44" s="370" t="str">
        <x:f>IF(AND($E44&lt;&gt;"",$E44&lt;=O$5+6,$F44&gt;=O$5),"■","")</x:f>
      </x:c>
      <x:c r="P44" s="370" t="str">
        <x:f>IF(AND($E44&lt;&gt;"",$E44&lt;=P$5+6,$F44&gt;=P$5),"■","")</x:f>
      </x:c>
      <x:c r="Q44" s="370" t="str">
        <x:f>IF(AND($E44&lt;&gt;"",$E44&lt;=Q$5+6,$F44&gt;=Q$5),"■","")</x:f>
      </x:c>
      <x:c r="R44" s="370" t="str">
        <x:f>IF(AND($E44&lt;&gt;"",$E44&lt;=R$5+6,$F44&gt;=R$5),"■","")</x:f>
      </x:c>
      <x:c r="S44" s="370" t="str">
        <x:f>IF(AND($E44&lt;&gt;"",$E44&lt;=S$5+6,$F44&gt;=S$5),"■","")</x:f>
      </x:c>
      <x:c r="T44" s="370" t="str">
        <x:f>IF(AND($E44&lt;&gt;"",$E44&lt;=T$5+6,$F44&gt;=T$5),"■","")</x:f>
      </x:c>
      <x:c r="U44" s="370" t="str">
        <x:f>IF(AND($E44&lt;&gt;"",$E44&lt;=U$5+6,$F44&gt;=U$5),"■","")</x:f>
      </x:c>
      <x:c r="V44" s="370" t="str">
        <x:f>IF(AND($E44&lt;&gt;"",$E44&lt;=V$5+6,$F44&gt;=V$5),"■","")</x:f>
      </x:c>
      <x:c r="W44" s="370" t="str">
        <x:f>IF(AND($E44&lt;&gt;"",$E44&lt;=W$5+6,$F44&gt;=W$5),"■","")</x:f>
      </x:c>
      <x:c r="X44" s="370" t="str">
        <x:f>IF(AND($E44&lt;&gt;"",$E44&lt;=X$5+6,$F44&gt;=X$5),"■","")</x:f>
      </x:c>
      <x:c r="Y44" s="370" t="str">
        <x:f>IF(AND($E44&lt;&gt;"",$E44&lt;=Y$5+6,$F44&gt;=Y$5),"■","")</x:f>
      </x:c>
      <x:c r="Z44" s="370" t="str">
        <x:f>IF(AND($E44&lt;&gt;"",$E44&lt;=Z$5+6,$F44&gt;=Z$5),"■","")</x:f>
      </x:c>
      <x:c r="AA44" s="370" t="str">
        <x:f>IF(AND($E44&lt;&gt;"",$E44&lt;=AA$5+6,$F44&gt;=AA$5),"■","")</x:f>
      </x:c>
      <x:c r="AB44" s="370" t="str">
        <x:f>IF(AND($E44&lt;&gt;"",$E44&lt;=AB$5+6,$F44&gt;=AB$5),"■","")</x:f>
      </x:c>
      <x:c r="AC44" s="370" t="str">
        <x:f>IF(AND($E44&lt;&gt;"",$E44&lt;=AC$5+6,$F44&gt;=AC$5),"■","")</x:f>
      </x:c>
      <x:c r="AD44" s="370" t="str">
        <x:f>IF(AND($E44&lt;&gt;"",$E44&lt;=AD$5+6,$F44&gt;=AD$5),"■","")</x:f>
      </x:c>
      <x:c r="AE44" s="370" t="str">
        <x:f>IF(AND($E44&lt;&gt;"",$E44&lt;=AE$5+6,$F44&gt;=AE$5),"■","")</x:f>
      </x:c>
      <x:c r="AF44" s="370" t="str">
        <x:f>IF(AND($E44&lt;&gt;"",$E44&lt;=AF$5+6,$F44&gt;=AF$5),"■","")</x:f>
      </x:c>
      <x:c r="AG44" s="370" t="str">
        <x:f>IF(AND($E44&lt;&gt;"",$E44&lt;=AG$5+6,$F44&gt;=AG$5),"■","")</x:f>
      </x:c>
      <x:c r="AH44" s="371" t="str">
        <x:f>IF(AND($E44&lt;&gt;"",$E44&lt;=AH$5+6,$F44&gt;=AH$5),"■","")</x:f>
      </x:c>
    </x:row>
    <x:row r="45" ht="38" customHeight="1">
      <x:c r="A45" s="466" t="str">
        <x:f>'作業計画'!A45</x:f>
        <x:v>00039</x:v>
      </x:c>
      <x:c r="B45" s="198" t="str">
        <x:f>'作業計画'!B45</x:f>
        <x:v>04.開発</x:v>
      </x:c>
      <x:c r="C45" s="56" t="str">
        <x:f>'作業計画'!C45</x:f>
        <x:v>BronzeLakehouse：追加テーブル定義</x:v>
      </x:c>
      <x:c r="D45" s="56" t="str">
        <x:f>'作業計画'!D45</x:f>
        <x:v>開発担当（要確定）</x:v>
      </x:c>
      <x:c r="E45" s="346" t="n">
        <x:f>IF('作業計画'!O45="","",'作業計画'!O45)</x:f>
        <x:v>46344</x:v>
      </x:c>
      <x:c r="F45" s="346" t="n">
        <x:f>IF('作業計画'!P45="","",'作業計画'!P45)</x:f>
        <x:v>46346</x:v>
      </x:c>
      <x:c r="G45" s="354" t="n">
        <x:f>'作業計画'!U45</x:f>
        <x:v>0</x:v>
      </x:c>
      <x:c r="H45" s="56" t="str">
        <x:f>'作業計画'!V45</x:f>
        <x:v>予定前</x:v>
      </x:c>
      <x:c r="I45" s="372" t="str">
        <x:f>IF(AND($E45&lt;&gt;"",$E45&lt;=I$5+6,$F45&gt;=I$5),"■","")</x:f>
      </x:c>
      <x:c r="J45" s="372" t="str">
        <x:f>IF(AND($E45&lt;&gt;"",$E45&lt;=J$5+6,$F45&gt;=J$5),"■","")</x:f>
      </x:c>
      <x:c r="K45" s="372" t="str">
        <x:f>IF(AND($E45&lt;&gt;"",$E45&lt;=K$5+6,$F45&gt;=K$5),"■","")</x:f>
      </x:c>
      <x:c r="L45" s="372" t="str">
        <x:f>IF(AND($E45&lt;&gt;"",$E45&lt;=L$5+6,$F45&gt;=L$5),"■","")</x:f>
      </x:c>
      <x:c r="M45" s="372" t="str">
        <x:f>IF(AND($E45&lt;&gt;"",$E45&lt;=M$5+6,$F45&gt;=M$5),"■","")</x:f>
        <x:v>■</x:v>
      </x:c>
      <x:c r="N45" s="372" t="str">
        <x:f>IF(AND($E45&lt;&gt;"",$E45&lt;=N$5+6,$F45&gt;=N$5),"■","")</x:f>
      </x:c>
      <x:c r="O45" s="372" t="str">
        <x:f>IF(AND($E45&lt;&gt;"",$E45&lt;=O$5+6,$F45&gt;=O$5),"■","")</x:f>
      </x:c>
      <x:c r="P45" s="372" t="str">
        <x:f>IF(AND($E45&lt;&gt;"",$E45&lt;=P$5+6,$F45&gt;=P$5),"■","")</x:f>
      </x:c>
      <x:c r="Q45" s="372" t="str">
        <x:f>IF(AND($E45&lt;&gt;"",$E45&lt;=Q$5+6,$F45&gt;=Q$5),"■","")</x:f>
      </x:c>
      <x:c r="R45" s="372" t="str">
        <x:f>IF(AND($E45&lt;&gt;"",$E45&lt;=R$5+6,$F45&gt;=R$5),"■","")</x:f>
      </x:c>
      <x:c r="S45" s="372" t="str">
        <x:f>IF(AND($E45&lt;&gt;"",$E45&lt;=S$5+6,$F45&gt;=S$5),"■","")</x:f>
      </x:c>
      <x:c r="T45" s="372" t="str">
        <x:f>IF(AND($E45&lt;&gt;"",$E45&lt;=T$5+6,$F45&gt;=T$5),"■","")</x:f>
      </x:c>
      <x:c r="U45" s="372" t="str">
        <x:f>IF(AND($E45&lt;&gt;"",$E45&lt;=U$5+6,$F45&gt;=U$5),"■","")</x:f>
      </x:c>
      <x:c r="V45" s="372" t="str">
        <x:f>IF(AND($E45&lt;&gt;"",$E45&lt;=V$5+6,$F45&gt;=V$5),"■","")</x:f>
      </x:c>
      <x:c r="W45" s="372" t="str">
        <x:f>IF(AND($E45&lt;&gt;"",$E45&lt;=W$5+6,$F45&gt;=W$5),"■","")</x:f>
      </x:c>
      <x:c r="X45" s="372" t="str">
        <x:f>IF(AND($E45&lt;&gt;"",$E45&lt;=X$5+6,$F45&gt;=X$5),"■","")</x:f>
      </x:c>
      <x:c r="Y45" s="372" t="str">
        <x:f>IF(AND($E45&lt;&gt;"",$E45&lt;=Y$5+6,$F45&gt;=Y$5),"■","")</x:f>
      </x:c>
      <x:c r="Z45" s="372" t="str">
        <x:f>IF(AND($E45&lt;&gt;"",$E45&lt;=Z$5+6,$F45&gt;=Z$5),"■","")</x:f>
      </x:c>
      <x:c r="AA45" s="372" t="str">
        <x:f>IF(AND($E45&lt;&gt;"",$E45&lt;=AA$5+6,$F45&gt;=AA$5),"■","")</x:f>
      </x:c>
      <x:c r="AB45" s="372" t="str">
        <x:f>IF(AND($E45&lt;&gt;"",$E45&lt;=AB$5+6,$F45&gt;=AB$5),"■","")</x:f>
      </x:c>
      <x:c r="AC45" s="372" t="str">
        <x:f>IF(AND($E45&lt;&gt;"",$E45&lt;=AC$5+6,$F45&gt;=AC$5),"■","")</x:f>
      </x:c>
      <x:c r="AD45" s="372" t="str">
        <x:f>IF(AND($E45&lt;&gt;"",$E45&lt;=AD$5+6,$F45&gt;=AD$5),"■","")</x:f>
      </x:c>
      <x:c r="AE45" s="372" t="str">
        <x:f>IF(AND($E45&lt;&gt;"",$E45&lt;=AE$5+6,$F45&gt;=AE$5),"■","")</x:f>
      </x:c>
      <x:c r="AF45" s="372" t="str">
        <x:f>IF(AND($E45&lt;&gt;"",$E45&lt;=AF$5+6,$F45&gt;=AF$5),"■","")</x:f>
      </x:c>
      <x:c r="AG45" s="372" t="str">
        <x:f>IF(AND($E45&lt;&gt;"",$E45&lt;=AG$5+6,$F45&gt;=AG$5),"■","")</x:f>
      </x:c>
      <x:c r="AH45" s="373" t="str">
        <x:f>IF(AND($E45&lt;&gt;"",$E45&lt;=AH$5+6,$F45&gt;=AH$5),"■","")</x:f>
      </x:c>
    </x:row>
    <x:row r="46" ht="38" customHeight="1">
      <x:c r="A46" s="465" t="str">
        <x:f>'作業計画'!A46</x:f>
        <x:v>00040</x:v>
      </x:c>
      <x:c r="B46" s="198" t="str">
        <x:f>'作業計画'!B46</x:f>
        <x:v>04.開発</x:v>
      </x:c>
      <x:c r="C46" s="48" t="str">
        <x:f>'作業計画'!C46</x:f>
        <x:v>BronzeDataflow：追加・差分／全件更新の実装</x:v>
      </x:c>
      <x:c r="D46" s="48" t="str">
        <x:f>'作業計画'!D46</x:f>
        <x:v>開発担当（要確定）</x:v>
      </x:c>
      <x:c r="E46" s="345" t="n">
        <x:f>IF('作業計画'!O46="","",'作業計画'!O46)</x:f>
        <x:v>46349</x:v>
      </x:c>
      <x:c r="F46" s="345" t="n">
        <x:f>IF('作業計画'!P46="","",'作業計画'!P46)</x:f>
        <x:v>46352</x:v>
      </x:c>
      <x:c r="G46" s="353" t="n">
        <x:f>'作業計画'!U46</x:f>
        <x:v>0</x:v>
      </x:c>
      <x:c r="H46" s="48" t="str">
        <x:f>'作業計画'!V46</x:f>
        <x:v>予定前</x:v>
      </x:c>
      <x:c r="I46" s="370" t="str">
        <x:f>IF(AND($E46&lt;&gt;"",$E46&lt;=I$5+6,$F46&gt;=I$5),"■","")</x:f>
      </x:c>
      <x:c r="J46" s="370" t="str">
        <x:f>IF(AND($E46&lt;&gt;"",$E46&lt;=J$5+6,$F46&gt;=J$5),"■","")</x:f>
      </x:c>
      <x:c r="K46" s="370" t="str">
        <x:f>IF(AND($E46&lt;&gt;"",$E46&lt;=K$5+6,$F46&gt;=K$5),"■","")</x:f>
      </x:c>
      <x:c r="L46" s="370" t="str">
        <x:f>IF(AND($E46&lt;&gt;"",$E46&lt;=L$5+6,$F46&gt;=L$5),"■","")</x:f>
      </x:c>
      <x:c r="M46" s="370" t="str">
        <x:f>IF(AND($E46&lt;&gt;"",$E46&lt;=M$5+6,$F46&gt;=M$5),"■","")</x:f>
      </x:c>
      <x:c r="N46" s="370" t="str">
        <x:f>IF(AND($E46&lt;&gt;"",$E46&lt;=N$5+6,$F46&gt;=N$5),"■","")</x:f>
        <x:v>■</x:v>
      </x:c>
      <x:c r="O46" s="370" t="str">
        <x:f>IF(AND($E46&lt;&gt;"",$E46&lt;=O$5+6,$F46&gt;=O$5),"■","")</x:f>
      </x:c>
      <x:c r="P46" s="370" t="str">
        <x:f>IF(AND($E46&lt;&gt;"",$E46&lt;=P$5+6,$F46&gt;=P$5),"■","")</x:f>
      </x:c>
      <x:c r="Q46" s="370" t="str">
        <x:f>IF(AND($E46&lt;&gt;"",$E46&lt;=Q$5+6,$F46&gt;=Q$5),"■","")</x:f>
      </x:c>
      <x:c r="R46" s="370" t="str">
        <x:f>IF(AND($E46&lt;&gt;"",$E46&lt;=R$5+6,$F46&gt;=R$5),"■","")</x:f>
      </x:c>
      <x:c r="S46" s="370" t="str">
        <x:f>IF(AND($E46&lt;&gt;"",$E46&lt;=S$5+6,$F46&gt;=S$5),"■","")</x:f>
      </x:c>
      <x:c r="T46" s="370" t="str">
        <x:f>IF(AND($E46&lt;&gt;"",$E46&lt;=T$5+6,$F46&gt;=T$5),"■","")</x:f>
      </x:c>
      <x:c r="U46" s="370" t="str">
        <x:f>IF(AND($E46&lt;&gt;"",$E46&lt;=U$5+6,$F46&gt;=U$5),"■","")</x:f>
      </x:c>
      <x:c r="V46" s="370" t="str">
        <x:f>IF(AND($E46&lt;&gt;"",$E46&lt;=V$5+6,$F46&gt;=V$5),"■","")</x:f>
      </x:c>
      <x:c r="W46" s="370" t="str">
        <x:f>IF(AND($E46&lt;&gt;"",$E46&lt;=W$5+6,$F46&gt;=W$5),"■","")</x:f>
      </x:c>
      <x:c r="X46" s="370" t="str">
        <x:f>IF(AND($E46&lt;&gt;"",$E46&lt;=X$5+6,$F46&gt;=X$5),"■","")</x:f>
      </x:c>
      <x:c r="Y46" s="370" t="str">
        <x:f>IF(AND($E46&lt;&gt;"",$E46&lt;=Y$5+6,$F46&gt;=Y$5),"■","")</x:f>
      </x:c>
      <x:c r="Z46" s="370" t="str">
        <x:f>IF(AND($E46&lt;&gt;"",$E46&lt;=Z$5+6,$F46&gt;=Z$5),"■","")</x:f>
      </x:c>
      <x:c r="AA46" s="370" t="str">
        <x:f>IF(AND($E46&lt;&gt;"",$E46&lt;=AA$5+6,$F46&gt;=AA$5),"■","")</x:f>
      </x:c>
      <x:c r="AB46" s="370" t="str">
        <x:f>IF(AND($E46&lt;&gt;"",$E46&lt;=AB$5+6,$F46&gt;=AB$5),"■","")</x:f>
      </x:c>
      <x:c r="AC46" s="370" t="str">
        <x:f>IF(AND($E46&lt;&gt;"",$E46&lt;=AC$5+6,$F46&gt;=AC$5),"■","")</x:f>
      </x:c>
      <x:c r="AD46" s="370" t="str">
        <x:f>IF(AND($E46&lt;&gt;"",$E46&lt;=AD$5+6,$F46&gt;=AD$5),"■","")</x:f>
      </x:c>
      <x:c r="AE46" s="370" t="str">
        <x:f>IF(AND($E46&lt;&gt;"",$E46&lt;=AE$5+6,$F46&gt;=AE$5),"■","")</x:f>
      </x:c>
      <x:c r="AF46" s="370" t="str">
        <x:f>IF(AND($E46&lt;&gt;"",$E46&lt;=AF$5+6,$F46&gt;=AF$5),"■","")</x:f>
      </x:c>
      <x:c r="AG46" s="370" t="str">
        <x:f>IF(AND($E46&lt;&gt;"",$E46&lt;=AG$5+6,$F46&gt;=AG$5),"■","")</x:f>
      </x:c>
      <x:c r="AH46" s="371" t="str">
        <x:f>IF(AND($E46&lt;&gt;"",$E46&lt;=AH$5+6,$F46&gt;=AH$5),"■","")</x:f>
      </x:c>
    </x:row>
    <x:row r="47" ht="38" customHeight="1">
      <x:c r="A47" s="466" t="str">
        <x:f>'作業計画'!A47</x:f>
        <x:v>00041</x:v>
      </x:c>
      <x:c r="B47" s="198" t="str">
        <x:f>'作業計画'!B47</x:f>
        <x:v>04.開発</x:v>
      </x:c>
      <x:c r="C47" s="56" t="str">
        <x:f>'作業計画'!C47</x:f>
        <x:v>BronzeNotebook：処理追加</x:v>
      </x:c>
      <x:c r="D47" s="56" t="str">
        <x:f>'作業計画'!D47</x:f>
        <x:v>開発担当（要確定）</x:v>
      </x:c>
      <x:c r="E47" s="346" t="n">
        <x:f>IF('作業計画'!O47="","",'作業計画'!O47)</x:f>
        <x:v>46353</x:v>
      </x:c>
      <x:c r="F47" s="346" t="n">
        <x:f>IF('作業計画'!P47="","",'作業計画'!P47)</x:f>
        <x:v>46358</x:v>
      </x:c>
      <x:c r="G47" s="354" t="n">
        <x:f>'作業計画'!U47</x:f>
        <x:v>0</x:v>
      </x:c>
      <x:c r="H47" s="56" t="str">
        <x:f>'作業計画'!V47</x:f>
        <x:v>予定前</x:v>
      </x:c>
      <x:c r="I47" s="372" t="str">
        <x:f>IF(AND($E47&lt;&gt;"",$E47&lt;=I$5+6,$F47&gt;=I$5),"■","")</x:f>
      </x:c>
      <x:c r="J47" s="372" t="str">
        <x:f>IF(AND($E47&lt;&gt;"",$E47&lt;=J$5+6,$F47&gt;=J$5),"■","")</x:f>
      </x:c>
      <x:c r="K47" s="372" t="str">
        <x:f>IF(AND($E47&lt;&gt;"",$E47&lt;=K$5+6,$F47&gt;=K$5),"■","")</x:f>
      </x:c>
      <x:c r="L47" s="372" t="str">
        <x:f>IF(AND($E47&lt;&gt;"",$E47&lt;=L$5+6,$F47&gt;=L$5),"■","")</x:f>
      </x:c>
      <x:c r="M47" s="372" t="str">
        <x:f>IF(AND($E47&lt;&gt;"",$E47&lt;=M$5+6,$F47&gt;=M$5),"■","")</x:f>
      </x:c>
      <x:c r="N47" s="372" t="str">
        <x:f>IF(AND($E47&lt;&gt;"",$E47&lt;=N$5+6,$F47&gt;=N$5),"■","")</x:f>
        <x:v>■</x:v>
      </x:c>
      <x:c r="O47" s="372" t="str">
        <x:f>IF(AND($E47&lt;&gt;"",$E47&lt;=O$5+6,$F47&gt;=O$5),"■","")</x:f>
        <x:v>■</x:v>
      </x:c>
      <x:c r="P47" s="372" t="str">
        <x:f>IF(AND($E47&lt;&gt;"",$E47&lt;=P$5+6,$F47&gt;=P$5),"■","")</x:f>
      </x:c>
      <x:c r="Q47" s="372" t="str">
        <x:f>IF(AND($E47&lt;&gt;"",$E47&lt;=Q$5+6,$F47&gt;=Q$5),"■","")</x:f>
      </x:c>
      <x:c r="R47" s="372" t="str">
        <x:f>IF(AND($E47&lt;&gt;"",$E47&lt;=R$5+6,$F47&gt;=R$5),"■","")</x:f>
      </x:c>
      <x:c r="S47" s="372" t="str">
        <x:f>IF(AND($E47&lt;&gt;"",$E47&lt;=S$5+6,$F47&gt;=S$5),"■","")</x:f>
      </x:c>
      <x:c r="T47" s="372" t="str">
        <x:f>IF(AND($E47&lt;&gt;"",$E47&lt;=T$5+6,$F47&gt;=T$5),"■","")</x:f>
      </x:c>
      <x:c r="U47" s="372" t="str">
        <x:f>IF(AND($E47&lt;&gt;"",$E47&lt;=U$5+6,$F47&gt;=U$5),"■","")</x:f>
      </x:c>
      <x:c r="V47" s="372" t="str">
        <x:f>IF(AND($E47&lt;&gt;"",$E47&lt;=V$5+6,$F47&gt;=V$5),"■","")</x:f>
      </x:c>
      <x:c r="W47" s="372" t="str">
        <x:f>IF(AND($E47&lt;&gt;"",$E47&lt;=W$5+6,$F47&gt;=W$5),"■","")</x:f>
      </x:c>
      <x:c r="X47" s="372" t="str">
        <x:f>IF(AND($E47&lt;&gt;"",$E47&lt;=X$5+6,$F47&gt;=X$5),"■","")</x:f>
      </x:c>
      <x:c r="Y47" s="372" t="str">
        <x:f>IF(AND($E47&lt;&gt;"",$E47&lt;=Y$5+6,$F47&gt;=Y$5),"■","")</x:f>
      </x:c>
      <x:c r="Z47" s="372" t="str">
        <x:f>IF(AND($E47&lt;&gt;"",$E47&lt;=Z$5+6,$F47&gt;=Z$5),"■","")</x:f>
      </x:c>
      <x:c r="AA47" s="372" t="str">
        <x:f>IF(AND($E47&lt;&gt;"",$E47&lt;=AA$5+6,$F47&gt;=AA$5),"■","")</x:f>
      </x:c>
      <x:c r="AB47" s="372" t="str">
        <x:f>IF(AND($E47&lt;&gt;"",$E47&lt;=AB$5+6,$F47&gt;=AB$5),"■","")</x:f>
      </x:c>
      <x:c r="AC47" s="372" t="str">
        <x:f>IF(AND($E47&lt;&gt;"",$E47&lt;=AC$5+6,$F47&gt;=AC$5),"■","")</x:f>
      </x:c>
      <x:c r="AD47" s="372" t="str">
        <x:f>IF(AND($E47&lt;&gt;"",$E47&lt;=AD$5+6,$F47&gt;=AD$5),"■","")</x:f>
      </x:c>
      <x:c r="AE47" s="372" t="str">
        <x:f>IF(AND($E47&lt;&gt;"",$E47&lt;=AE$5+6,$F47&gt;=AE$5),"■","")</x:f>
      </x:c>
      <x:c r="AF47" s="372" t="str">
        <x:f>IF(AND($E47&lt;&gt;"",$E47&lt;=AF$5+6,$F47&gt;=AF$5),"■","")</x:f>
      </x:c>
      <x:c r="AG47" s="372" t="str">
        <x:f>IF(AND($E47&lt;&gt;"",$E47&lt;=AG$5+6,$F47&gt;=AG$5),"■","")</x:f>
      </x:c>
      <x:c r="AH47" s="373" t="str">
        <x:f>IF(AND($E47&lt;&gt;"",$E47&lt;=AH$5+6,$F47&gt;=AH$5),"■","")</x:f>
      </x:c>
    </x:row>
    <x:row r="48" ht="38" customHeight="1">
      <x:c r="A48" s="465" t="str">
        <x:f>'作業計画'!A48</x:f>
        <x:v>00042</x:v>
      </x:c>
      <x:c r="B48" s="198" t="str">
        <x:f>'作業計画'!B48</x:f>
        <x:v>04.開発</x:v>
      </x:c>
      <x:c r="C48" s="48" t="str">
        <x:f>'作業計画'!C48</x:f>
        <x:v>BronzePipeline：GroupA／B等の処理変更</x:v>
      </x:c>
      <x:c r="D48" s="48" t="str">
        <x:f>'作業計画'!D48</x:f>
        <x:v>開発担当（要確定）</x:v>
      </x:c>
      <x:c r="E48" s="345" t="n">
        <x:f>IF('作業計画'!O48="","",'作業計画'!O48)</x:f>
        <x:v>46359</x:v>
      </x:c>
      <x:c r="F48" s="345" t="n">
        <x:f>IF('作業計画'!P48="","",'作業計画'!P48)</x:f>
        <x:v>46360</x:v>
      </x:c>
      <x:c r="G48" s="353" t="n">
        <x:f>'作業計画'!U48</x:f>
        <x:v>0</x:v>
      </x:c>
      <x:c r="H48" s="48" t="str">
        <x:f>'作業計画'!V48</x:f>
        <x:v>予定前</x:v>
      </x:c>
      <x:c r="I48" s="370" t="str">
        <x:f>IF(AND($E48&lt;&gt;"",$E48&lt;=I$5+6,$F48&gt;=I$5),"■","")</x:f>
      </x:c>
      <x:c r="J48" s="370" t="str">
        <x:f>IF(AND($E48&lt;&gt;"",$E48&lt;=J$5+6,$F48&gt;=J$5),"■","")</x:f>
      </x:c>
      <x:c r="K48" s="370" t="str">
        <x:f>IF(AND($E48&lt;&gt;"",$E48&lt;=K$5+6,$F48&gt;=K$5),"■","")</x:f>
      </x:c>
      <x:c r="L48" s="370" t="str">
        <x:f>IF(AND($E48&lt;&gt;"",$E48&lt;=L$5+6,$F48&gt;=L$5),"■","")</x:f>
      </x:c>
      <x:c r="M48" s="370" t="str">
        <x:f>IF(AND($E48&lt;&gt;"",$E48&lt;=M$5+6,$F48&gt;=M$5),"■","")</x:f>
      </x:c>
      <x:c r="N48" s="370" t="str">
        <x:f>IF(AND($E48&lt;&gt;"",$E48&lt;=N$5+6,$F48&gt;=N$5),"■","")</x:f>
      </x:c>
      <x:c r="O48" s="370" t="str">
        <x:f>IF(AND($E48&lt;&gt;"",$E48&lt;=O$5+6,$F48&gt;=O$5),"■","")</x:f>
        <x:v>■</x:v>
      </x:c>
      <x:c r="P48" s="370" t="str">
        <x:f>IF(AND($E48&lt;&gt;"",$E48&lt;=P$5+6,$F48&gt;=P$5),"■","")</x:f>
      </x:c>
      <x:c r="Q48" s="370" t="str">
        <x:f>IF(AND($E48&lt;&gt;"",$E48&lt;=Q$5+6,$F48&gt;=Q$5),"■","")</x:f>
      </x:c>
      <x:c r="R48" s="370" t="str">
        <x:f>IF(AND($E48&lt;&gt;"",$E48&lt;=R$5+6,$F48&gt;=R$5),"■","")</x:f>
      </x:c>
      <x:c r="S48" s="370" t="str">
        <x:f>IF(AND($E48&lt;&gt;"",$E48&lt;=S$5+6,$F48&gt;=S$5),"■","")</x:f>
      </x:c>
      <x:c r="T48" s="370" t="str">
        <x:f>IF(AND($E48&lt;&gt;"",$E48&lt;=T$5+6,$F48&gt;=T$5),"■","")</x:f>
      </x:c>
      <x:c r="U48" s="370" t="str">
        <x:f>IF(AND($E48&lt;&gt;"",$E48&lt;=U$5+6,$F48&gt;=U$5),"■","")</x:f>
      </x:c>
      <x:c r="V48" s="370" t="str">
        <x:f>IF(AND($E48&lt;&gt;"",$E48&lt;=V$5+6,$F48&gt;=V$5),"■","")</x:f>
      </x:c>
      <x:c r="W48" s="370" t="str">
        <x:f>IF(AND($E48&lt;&gt;"",$E48&lt;=W$5+6,$F48&gt;=W$5),"■","")</x:f>
      </x:c>
      <x:c r="X48" s="370" t="str">
        <x:f>IF(AND($E48&lt;&gt;"",$E48&lt;=X$5+6,$F48&gt;=X$5),"■","")</x:f>
      </x:c>
      <x:c r="Y48" s="370" t="str">
        <x:f>IF(AND($E48&lt;&gt;"",$E48&lt;=Y$5+6,$F48&gt;=Y$5),"■","")</x:f>
      </x:c>
      <x:c r="Z48" s="370" t="str">
        <x:f>IF(AND($E48&lt;&gt;"",$E48&lt;=Z$5+6,$F48&gt;=Z$5),"■","")</x:f>
      </x:c>
      <x:c r="AA48" s="370" t="str">
        <x:f>IF(AND($E48&lt;&gt;"",$E48&lt;=AA$5+6,$F48&gt;=AA$5),"■","")</x:f>
      </x:c>
      <x:c r="AB48" s="370" t="str">
        <x:f>IF(AND($E48&lt;&gt;"",$E48&lt;=AB$5+6,$F48&gt;=AB$5),"■","")</x:f>
      </x:c>
      <x:c r="AC48" s="370" t="str">
        <x:f>IF(AND($E48&lt;&gt;"",$E48&lt;=AC$5+6,$F48&gt;=AC$5),"■","")</x:f>
      </x:c>
      <x:c r="AD48" s="370" t="str">
        <x:f>IF(AND($E48&lt;&gt;"",$E48&lt;=AD$5+6,$F48&gt;=AD$5),"■","")</x:f>
      </x:c>
      <x:c r="AE48" s="370" t="str">
        <x:f>IF(AND($E48&lt;&gt;"",$E48&lt;=AE$5+6,$F48&gt;=AE$5),"■","")</x:f>
      </x:c>
      <x:c r="AF48" s="370" t="str">
        <x:f>IF(AND($E48&lt;&gt;"",$E48&lt;=AF$5+6,$F48&gt;=AF$5),"■","")</x:f>
      </x:c>
      <x:c r="AG48" s="370" t="str">
        <x:f>IF(AND($E48&lt;&gt;"",$E48&lt;=AG$5+6,$F48&gt;=AG$5),"■","")</x:f>
      </x:c>
      <x:c r="AH48" s="371" t="str">
        <x:f>IF(AND($E48&lt;&gt;"",$E48&lt;=AH$5+6,$F48&gt;=AH$5),"■","")</x:f>
      </x:c>
    </x:row>
    <x:row r="49" ht="38" customHeight="1">
      <x:c r="A49" s="466" t="str">
        <x:f>'作業計画'!A49</x:f>
        <x:v>00043</x:v>
      </x:c>
      <x:c r="B49" s="198" t="str">
        <x:f>'作業計画'!B49</x:f>
        <x:v>04.開発</x:v>
      </x:c>
      <x:c r="C49" s="56" t="str">
        <x:f>'作業計画'!C49</x:f>
        <x:v>SilverLakehouse：テーブル・列追加</x:v>
      </x:c>
      <x:c r="D49" s="56" t="str">
        <x:f>'作業計画'!D49</x:f>
        <x:v>開発担当（要確定）</x:v>
      </x:c>
      <x:c r="E49" s="346" t="n">
        <x:f>IF('作業計画'!O49="","",'作業計画'!O49)</x:f>
        <x:v>46349</x:v>
      </x:c>
      <x:c r="F49" s="346" t="n">
        <x:f>IF('作業計画'!P49="","",'作業計画'!P49)</x:f>
        <x:v>46351</x:v>
      </x:c>
      <x:c r="G49" s="354" t="n">
        <x:f>'作業計画'!U49</x:f>
        <x:v>0</x:v>
      </x:c>
      <x:c r="H49" s="56" t="str">
        <x:f>'作業計画'!V49</x:f>
        <x:v>予定前</x:v>
      </x:c>
      <x:c r="I49" s="372" t="str">
        <x:f>IF(AND($E49&lt;&gt;"",$E49&lt;=I$5+6,$F49&gt;=I$5),"■","")</x:f>
      </x:c>
      <x:c r="J49" s="372" t="str">
        <x:f>IF(AND($E49&lt;&gt;"",$E49&lt;=J$5+6,$F49&gt;=J$5),"■","")</x:f>
      </x:c>
      <x:c r="K49" s="372" t="str">
        <x:f>IF(AND($E49&lt;&gt;"",$E49&lt;=K$5+6,$F49&gt;=K$5),"■","")</x:f>
      </x:c>
      <x:c r="L49" s="372" t="str">
        <x:f>IF(AND($E49&lt;&gt;"",$E49&lt;=L$5+6,$F49&gt;=L$5),"■","")</x:f>
      </x:c>
      <x:c r="M49" s="372" t="str">
        <x:f>IF(AND($E49&lt;&gt;"",$E49&lt;=M$5+6,$F49&gt;=M$5),"■","")</x:f>
      </x:c>
      <x:c r="N49" s="372" t="str">
        <x:f>IF(AND($E49&lt;&gt;"",$E49&lt;=N$5+6,$F49&gt;=N$5),"■","")</x:f>
        <x:v>■</x:v>
      </x:c>
      <x:c r="O49" s="372" t="str">
        <x:f>IF(AND($E49&lt;&gt;"",$E49&lt;=O$5+6,$F49&gt;=O$5),"■","")</x:f>
      </x:c>
      <x:c r="P49" s="372" t="str">
        <x:f>IF(AND($E49&lt;&gt;"",$E49&lt;=P$5+6,$F49&gt;=P$5),"■","")</x:f>
      </x:c>
      <x:c r="Q49" s="372" t="str">
        <x:f>IF(AND($E49&lt;&gt;"",$E49&lt;=Q$5+6,$F49&gt;=Q$5),"■","")</x:f>
      </x:c>
      <x:c r="R49" s="372" t="str">
        <x:f>IF(AND($E49&lt;&gt;"",$E49&lt;=R$5+6,$F49&gt;=R$5),"■","")</x:f>
      </x:c>
      <x:c r="S49" s="372" t="str">
        <x:f>IF(AND($E49&lt;&gt;"",$E49&lt;=S$5+6,$F49&gt;=S$5),"■","")</x:f>
      </x:c>
      <x:c r="T49" s="372" t="str">
        <x:f>IF(AND($E49&lt;&gt;"",$E49&lt;=T$5+6,$F49&gt;=T$5),"■","")</x:f>
      </x:c>
      <x:c r="U49" s="372" t="str">
        <x:f>IF(AND($E49&lt;&gt;"",$E49&lt;=U$5+6,$F49&gt;=U$5),"■","")</x:f>
      </x:c>
      <x:c r="V49" s="372" t="str">
        <x:f>IF(AND($E49&lt;&gt;"",$E49&lt;=V$5+6,$F49&gt;=V$5),"■","")</x:f>
      </x:c>
      <x:c r="W49" s="372" t="str">
        <x:f>IF(AND($E49&lt;&gt;"",$E49&lt;=W$5+6,$F49&gt;=W$5),"■","")</x:f>
      </x:c>
      <x:c r="X49" s="372" t="str">
        <x:f>IF(AND($E49&lt;&gt;"",$E49&lt;=X$5+6,$F49&gt;=X$5),"■","")</x:f>
      </x:c>
      <x:c r="Y49" s="372" t="str">
        <x:f>IF(AND($E49&lt;&gt;"",$E49&lt;=Y$5+6,$F49&gt;=Y$5),"■","")</x:f>
      </x:c>
      <x:c r="Z49" s="372" t="str">
        <x:f>IF(AND($E49&lt;&gt;"",$E49&lt;=Z$5+6,$F49&gt;=Z$5),"■","")</x:f>
      </x:c>
      <x:c r="AA49" s="372" t="str">
        <x:f>IF(AND($E49&lt;&gt;"",$E49&lt;=AA$5+6,$F49&gt;=AA$5),"■","")</x:f>
      </x:c>
      <x:c r="AB49" s="372" t="str">
        <x:f>IF(AND($E49&lt;&gt;"",$E49&lt;=AB$5+6,$F49&gt;=AB$5),"■","")</x:f>
      </x:c>
      <x:c r="AC49" s="372" t="str">
        <x:f>IF(AND($E49&lt;&gt;"",$E49&lt;=AC$5+6,$F49&gt;=AC$5),"■","")</x:f>
      </x:c>
      <x:c r="AD49" s="372" t="str">
        <x:f>IF(AND($E49&lt;&gt;"",$E49&lt;=AD$5+6,$F49&gt;=AD$5),"■","")</x:f>
      </x:c>
      <x:c r="AE49" s="372" t="str">
        <x:f>IF(AND($E49&lt;&gt;"",$E49&lt;=AE$5+6,$F49&gt;=AE$5),"■","")</x:f>
      </x:c>
      <x:c r="AF49" s="372" t="str">
        <x:f>IF(AND($E49&lt;&gt;"",$E49&lt;=AF$5+6,$F49&gt;=AF$5),"■","")</x:f>
      </x:c>
      <x:c r="AG49" s="372" t="str">
        <x:f>IF(AND($E49&lt;&gt;"",$E49&lt;=AG$5+6,$F49&gt;=AG$5),"■","")</x:f>
      </x:c>
      <x:c r="AH49" s="373" t="str">
        <x:f>IF(AND($E49&lt;&gt;"",$E49&lt;=AH$5+6,$F49&gt;=AH$5),"■","")</x:f>
      </x:c>
    </x:row>
    <x:row r="50" ht="38" customHeight="1">
      <x:c r="A50" s="465" t="str">
        <x:f>'作業計画'!A50</x:f>
        <x:v>00044</x:v>
      </x:c>
      <x:c r="B50" s="198" t="str">
        <x:f>'作業計画'!B50</x:f>
        <x:v>04.開発</x:v>
      </x:c>
      <x:c r="C50" s="48" t="str">
        <x:f>'作業計画'!C50</x:f>
        <x:v>SilverNotebook：処理追加</x:v>
      </x:c>
      <x:c r="D50" s="48" t="str">
        <x:f>'作業計画'!D50</x:f>
        <x:v>開発担当（要確定）</x:v>
      </x:c>
      <x:c r="E50" s="345" t="n">
        <x:f>IF('作業計画'!O50="","",'作業計画'!O50)</x:f>
        <x:v>46364</x:v>
      </x:c>
      <x:c r="F50" s="345" t="n">
        <x:f>IF('作業計画'!P50="","",'作業計画'!P50)</x:f>
        <x:v>46367</x:v>
      </x:c>
      <x:c r="G50" s="353" t="n">
        <x:f>'作業計画'!U50</x:f>
        <x:v>0</x:v>
      </x:c>
      <x:c r="H50" s="48" t="str">
        <x:f>'作業計画'!V50</x:f>
        <x:v>予定前</x:v>
      </x:c>
      <x:c r="I50" s="370" t="str">
        <x:f>IF(AND($E50&lt;&gt;"",$E50&lt;=I$5+6,$F50&gt;=I$5),"■","")</x:f>
      </x:c>
      <x:c r="J50" s="370" t="str">
        <x:f>IF(AND($E50&lt;&gt;"",$E50&lt;=J$5+6,$F50&gt;=J$5),"■","")</x:f>
      </x:c>
      <x:c r="K50" s="370" t="str">
        <x:f>IF(AND($E50&lt;&gt;"",$E50&lt;=K$5+6,$F50&gt;=K$5),"■","")</x:f>
      </x:c>
      <x:c r="L50" s="370" t="str">
        <x:f>IF(AND($E50&lt;&gt;"",$E50&lt;=L$5+6,$F50&gt;=L$5),"■","")</x:f>
      </x:c>
      <x:c r="M50" s="370" t="str">
        <x:f>IF(AND($E50&lt;&gt;"",$E50&lt;=M$5+6,$F50&gt;=M$5),"■","")</x:f>
      </x:c>
      <x:c r="N50" s="370" t="str">
        <x:f>IF(AND($E50&lt;&gt;"",$E50&lt;=N$5+6,$F50&gt;=N$5),"■","")</x:f>
      </x:c>
      <x:c r="O50" s="370" t="str">
        <x:f>IF(AND($E50&lt;&gt;"",$E50&lt;=O$5+6,$F50&gt;=O$5),"■","")</x:f>
      </x:c>
      <x:c r="P50" s="370" t="str">
        <x:f>IF(AND($E50&lt;&gt;"",$E50&lt;=P$5+6,$F50&gt;=P$5),"■","")</x:f>
        <x:v>■</x:v>
      </x:c>
      <x:c r="Q50" s="370" t="str">
        <x:f>IF(AND($E50&lt;&gt;"",$E50&lt;=Q$5+6,$F50&gt;=Q$5),"■","")</x:f>
      </x:c>
      <x:c r="R50" s="370" t="str">
        <x:f>IF(AND($E50&lt;&gt;"",$E50&lt;=R$5+6,$F50&gt;=R$5),"■","")</x:f>
      </x:c>
      <x:c r="S50" s="370" t="str">
        <x:f>IF(AND($E50&lt;&gt;"",$E50&lt;=S$5+6,$F50&gt;=S$5),"■","")</x:f>
      </x:c>
      <x:c r="T50" s="370" t="str">
        <x:f>IF(AND($E50&lt;&gt;"",$E50&lt;=T$5+6,$F50&gt;=T$5),"■","")</x:f>
      </x:c>
      <x:c r="U50" s="370" t="str">
        <x:f>IF(AND($E50&lt;&gt;"",$E50&lt;=U$5+6,$F50&gt;=U$5),"■","")</x:f>
      </x:c>
      <x:c r="V50" s="370" t="str">
        <x:f>IF(AND($E50&lt;&gt;"",$E50&lt;=V$5+6,$F50&gt;=V$5),"■","")</x:f>
      </x:c>
      <x:c r="W50" s="370" t="str">
        <x:f>IF(AND($E50&lt;&gt;"",$E50&lt;=W$5+6,$F50&gt;=W$5),"■","")</x:f>
      </x:c>
      <x:c r="X50" s="370" t="str">
        <x:f>IF(AND($E50&lt;&gt;"",$E50&lt;=X$5+6,$F50&gt;=X$5),"■","")</x:f>
      </x:c>
      <x:c r="Y50" s="370" t="str">
        <x:f>IF(AND($E50&lt;&gt;"",$E50&lt;=Y$5+6,$F50&gt;=Y$5),"■","")</x:f>
      </x:c>
      <x:c r="Z50" s="370" t="str">
        <x:f>IF(AND($E50&lt;&gt;"",$E50&lt;=Z$5+6,$F50&gt;=Z$5),"■","")</x:f>
      </x:c>
      <x:c r="AA50" s="370" t="str">
        <x:f>IF(AND($E50&lt;&gt;"",$E50&lt;=AA$5+6,$F50&gt;=AA$5),"■","")</x:f>
      </x:c>
      <x:c r="AB50" s="370" t="str">
        <x:f>IF(AND($E50&lt;&gt;"",$E50&lt;=AB$5+6,$F50&gt;=AB$5),"■","")</x:f>
      </x:c>
      <x:c r="AC50" s="370" t="str">
        <x:f>IF(AND($E50&lt;&gt;"",$E50&lt;=AC$5+6,$F50&gt;=AC$5),"■","")</x:f>
      </x:c>
      <x:c r="AD50" s="370" t="str">
        <x:f>IF(AND($E50&lt;&gt;"",$E50&lt;=AD$5+6,$F50&gt;=AD$5),"■","")</x:f>
      </x:c>
      <x:c r="AE50" s="370" t="str">
        <x:f>IF(AND($E50&lt;&gt;"",$E50&lt;=AE$5+6,$F50&gt;=AE$5),"■","")</x:f>
      </x:c>
      <x:c r="AF50" s="370" t="str">
        <x:f>IF(AND($E50&lt;&gt;"",$E50&lt;=AF$5+6,$F50&gt;=AF$5),"■","")</x:f>
      </x:c>
      <x:c r="AG50" s="370" t="str">
        <x:f>IF(AND($E50&lt;&gt;"",$E50&lt;=AG$5+6,$F50&gt;=AG$5),"■","")</x:f>
      </x:c>
      <x:c r="AH50" s="371" t="str">
        <x:f>IF(AND($E50&lt;&gt;"",$E50&lt;=AH$5+6,$F50&gt;=AH$5),"■","")</x:f>
      </x:c>
    </x:row>
    <x:row r="51" ht="38" customHeight="1">
      <x:c r="A51" s="466" t="str">
        <x:f>'作業計画'!A51</x:f>
        <x:v>00045</x:v>
      </x:c>
      <x:c r="B51" s="198" t="str">
        <x:f>'作業計画'!B51</x:f>
        <x:v>04.開発</x:v>
      </x:c>
      <x:c r="C51" s="56" t="str">
        <x:f>'作業計画'!C51</x:f>
        <x:v>SilverPipeline：処理変更</x:v>
      </x:c>
      <x:c r="D51" s="56" t="str">
        <x:f>'作業計画'!D51</x:f>
        <x:v>開発担当（要確定）</x:v>
      </x:c>
      <x:c r="E51" s="346" t="n">
        <x:f>IF('作業計画'!O51="","",'作業計画'!O51)</x:f>
        <x:v>46370</x:v>
      </x:c>
      <x:c r="F51" s="346" t="n">
        <x:f>IF('作業計画'!P51="","",'作業計画'!P51)</x:f>
        <x:v>46371</x:v>
      </x:c>
      <x:c r="G51" s="354" t="n">
        <x:f>'作業計画'!U51</x:f>
        <x:v>0</x:v>
      </x:c>
      <x:c r="H51" s="56" t="str">
        <x:f>'作業計画'!V51</x:f>
        <x:v>予定前</x:v>
      </x:c>
      <x:c r="I51" s="372" t="str">
        <x:f>IF(AND($E51&lt;&gt;"",$E51&lt;=I$5+6,$F51&gt;=I$5),"■","")</x:f>
      </x:c>
      <x:c r="J51" s="372" t="str">
        <x:f>IF(AND($E51&lt;&gt;"",$E51&lt;=J$5+6,$F51&gt;=J$5),"■","")</x:f>
      </x:c>
      <x:c r="K51" s="372" t="str">
        <x:f>IF(AND($E51&lt;&gt;"",$E51&lt;=K$5+6,$F51&gt;=K$5),"■","")</x:f>
      </x:c>
      <x:c r="L51" s="372" t="str">
        <x:f>IF(AND($E51&lt;&gt;"",$E51&lt;=L$5+6,$F51&gt;=L$5),"■","")</x:f>
      </x:c>
      <x:c r="M51" s="372" t="str">
        <x:f>IF(AND($E51&lt;&gt;"",$E51&lt;=M$5+6,$F51&gt;=M$5),"■","")</x:f>
      </x:c>
      <x:c r="N51" s="372" t="str">
        <x:f>IF(AND($E51&lt;&gt;"",$E51&lt;=N$5+6,$F51&gt;=N$5),"■","")</x:f>
      </x:c>
      <x:c r="O51" s="372" t="str">
        <x:f>IF(AND($E51&lt;&gt;"",$E51&lt;=O$5+6,$F51&gt;=O$5),"■","")</x:f>
      </x:c>
      <x:c r="P51" s="372" t="str">
        <x:f>IF(AND($E51&lt;&gt;"",$E51&lt;=P$5+6,$F51&gt;=P$5),"■","")</x:f>
      </x:c>
      <x:c r="Q51" s="372" t="str">
        <x:f>IF(AND($E51&lt;&gt;"",$E51&lt;=Q$5+6,$F51&gt;=Q$5),"■","")</x:f>
        <x:v>■</x:v>
      </x:c>
      <x:c r="R51" s="372" t="str">
        <x:f>IF(AND($E51&lt;&gt;"",$E51&lt;=R$5+6,$F51&gt;=R$5),"■","")</x:f>
      </x:c>
      <x:c r="S51" s="372" t="str">
        <x:f>IF(AND($E51&lt;&gt;"",$E51&lt;=S$5+6,$F51&gt;=S$5),"■","")</x:f>
      </x:c>
      <x:c r="T51" s="372" t="str">
        <x:f>IF(AND($E51&lt;&gt;"",$E51&lt;=T$5+6,$F51&gt;=T$5),"■","")</x:f>
      </x:c>
      <x:c r="U51" s="372" t="str">
        <x:f>IF(AND($E51&lt;&gt;"",$E51&lt;=U$5+6,$F51&gt;=U$5),"■","")</x:f>
      </x:c>
      <x:c r="V51" s="372" t="str">
        <x:f>IF(AND($E51&lt;&gt;"",$E51&lt;=V$5+6,$F51&gt;=V$5),"■","")</x:f>
      </x:c>
      <x:c r="W51" s="372" t="str">
        <x:f>IF(AND($E51&lt;&gt;"",$E51&lt;=W$5+6,$F51&gt;=W$5),"■","")</x:f>
      </x:c>
      <x:c r="X51" s="372" t="str">
        <x:f>IF(AND($E51&lt;&gt;"",$E51&lt;=X$5+6,$F51&gt;=X$5),"■","")</x:f>
      </x:c>
      <x:c r="Y51" s="372" t="str">
        <x:f>IF(AND($E51&lt;&gt;"",$E51&lt;=Y$5+6,$F51&gt;=Y$5),"■","")</x:f>
      </x:c>
      <x:c r="Z51" s="372" t="str">
        <x:f>IF(AND($E51&lt;&gt;"",$E51&lt;=Z$5+6,$F51&gt;=Z$5),"■","")</x:f>
      </x:c>
      <x:c r="AA51" s="372" t="str">
        <x:f>IF(AND($E51&lt;&gt;"",$E51&lt;=AA$5+6,$F51&gt;=AA$5),"■","")</x:f>
      </x:c>
      <x:c r="AB51" s="372" t="str">
        <x:f>IF(AND($E51&lt;&gt;"",$E51&lt;=AB$5+6,$F51&gt;=AB$5),"■","")</x:f>
      </x:c>
      <x:c r="AC51" s="372" t="str">
        <x:f>IF(AND($E51&lt;&gt;"",$E51&lt;=AC$5+6,$F51&gt;=AC$5),"■","")</x:f>
      </x:c>
      <x:c r="AD51" s="372" t="str">
        <x:f>IF(AND($E51&lt;&gt;"",$E51&lt;=AD$5+6,$F51&gt;=AD$5),"■","")</x:f>
      </x:c>
      <x:c r="AE51" s="372" t="str">
        <x:f>IF(AND($E51&lt;&gt;"",$E51&lt;=AE$5+6,$F51&gt;=AE$5),"■","")</x:f>
      </x:c>
      <x:c r="AF51" s="372" t="str">
        <x:f>IF(AND($E51&lt;&gt;"",$E51&lt;=AF$5+6,$F51&gt;=AF$5),"■","")</x:f>
      </x:c>
      <x:c r="AG51" s="372" t="str">
        <x:f>IF(AND($E51&lt;&gt;"",$E51&lt;=AG$5+6,$F51&gt;=AG$5),"■","")</x:f>
      </x:c>
      <x:c r="AH51" s="373" t="str">
        <x:f>IF(AND($E51&lt;&gt;"",$E51&lt;=AH$5+6,$F51&gt;=AH$5),"■","")</x:f>
      </x:c>
    </x:row>
    <x:row r="52" ht="38" customHeight="1">
      <x:c r="A52" s="465" t="str">
        <x:f>'作業計画'!A52</x:f>
        <x:v>00046</x:v>
      </x:c>
      <x:c r="B52" s="198" t="str">
        <x:f>'作業計画'!B52</x:f>
        <x:v>04.開発</x:v>
      </x:c>
      <x:c r="C52" s="48" t="str">
        <x:f>'作業計画'!C52</x:f>
        <x:v>GoldLakehouse：取得先・参照データの構築</x:v>
      </x:c>
      <x:c r="D52" s="48" t="str">
        <x:f>'作業計画'!D52</x:f>
        <x:v>開発担当（要確定）</x:v>
      </x:c>
      <x:c r="E52" s="345" t="n">
        <x:f>IF('作業計画'!O52="","",'作業計画'!O52)</x:f>
        <x:v>46372</x:v>
      </x:c>
      <x:c r="F52" s="345" t="n">
        <x:f>IF('作業計画'!P52="","",'作業計画'!P52)</x:f>
        <x:v>46373</x:v>
      </x:c>
      <x:c r="G52" s="353" t="n">
        <x:f>'作業計画'!U52</x:f>
        <x:v>0</x:v>
      </x:c>
      <x:c r="H52" s="48" t="str">
        <x:f>'作業計画'!V52</x:f>
        <x:v>予定前</x:v>
      </x:c>
      <x:c r="I52" s="370" t="str">
        <x:f>IF(AND($E52&lt;&gt;"",$E52&lt;=I$5+6,$F52&gt;=I$5),"■","")</x:f>
      </x:c>
      <x:c r="J52" s="370" t="str">
        <x:f>IF(AND($E52&lt;&gt;"",$E52&lt;=J$5+6,$F52&gt;=J$5),"■","")</x:f>
      </x:c>
      <x:c r="K52" s="370" t="str">
        <x:f>IF(AND($E52&lt;&gt;"",$E52&lt;=K$5+6,$F52&gt;=K$5),"■","")</x:f>
      </x:c>
      <x:c r="L52" s="370" t="str">
        <x:f>IF(AND($E52&lt;&gt;"",$E52&lt;=L$5+6,$F52&gt;=L$5),"■","")</x:f>
      </x:c>
      <x:c r="M52" s="370" t="str">
        <x:f>IF(AND($E52&lt;&gt;"",$E52&lt;=M$5+6,$F52&gt;=M$5),"■","")</x:f>
      </x:c>
      <x:c r="N52" s="370" t="str">
        <x:f>IF(AND($E52&lt;&gt;"",$E52&lt;=N$5+6,$F52&gt;=N$5),"■","")</x:f>
      </x:c>
      <x:c r="O52" s="370" t="str">
        <x:f>IF(AND($E52&lt;&gt;"",$E52&lt;=O$5+6,$F52&gt;=O$5),"■","")</x:f>
      </x:c>
      <x:c r="P52" s="370" t="str">
        <x:f>IF(AND($E52&lt;&gt;"",$E52&lt;=P$5+6,$F52&gt;=P$5),"■","")</x:f>
      </x:c>
      <x:c r="Q52" s="370" t="str">
        <x:f>IF(AND($E52&lt;&gt;"",$E52&lt;=Q$5+6,$F52&gt;=Q$5),"■","")</x:f>
        <x:v>■</x:v>
      </x:c>
      <x:c r="R52" s="370" t="str">
        <x:f>IF(AND($E52&lt;&gt;"",$E52&lt;=R$5+6,$F52&gt;=R$5),"■","")</x:f>
      </x:c>
      <x:c r="S52" s="370" t="str">
        <x:f>IF(AND($E52&lt;&gt;"",$E52&lt;=S$5+6,$F52&gt;=S$5),"■","")</x:f>
      </x:c>
      <x:c r="T52" s="370" t="str">
        <x:f>IF(AND($E52&lt;&gt;"",$E52&lt;=T$5+6,$F52&gt;=T$5),"■","")</x:f>
      </x:c>
      <x:c r="U52" s="370" t="str">
        <x:f>IF(AND($E52&lt;&gt;"",$E52&lt;=U$5+6,$F52&gt;=U$5),"■","")</x:f>
      </x:c>
      <x:c r="V52" s="370" t="str">
        <x:f>IF(AND($E52&lt;&gt;"",$E52&lt;=V$5+6,$F52&gt;=V$5),"■","")</x:f>
      </x:c>
      <x:c r="W52" s="370" t="str">
        <x:f>IF(AND($E52&lt;&gt;"",$E52&lt;=W$5+6,$F52&gt;=W$5),"■","")</x:f>
      </x:c>
      <x:c r="X52" s="370" t="str">
        <x:f>IF(AND($E52&lt;&gt;"",$E52&lt;=X$5+6,$F52&gt;=X$5),"■","")</x:f>
      </x:c>
      <x:c r="Y52" s="370" t="str">
        <x:f>IF(AND($E52&lt;&gt;"",$E52&lt;=Y$5+6,$F52&gt;=Y$5),"■","")</x:f>
      </x:c>
      <x:c r="Z52" s="370" t="str">
        <x:f>IF(AND($E52&lt;&gt;"",$E52&lt;=Z$5+6,$F52&gt;=Z$5),"■","")</x:f>
      </x:c>
      <x:c r="AA52" s="370" t="str">
        <x:f>IF(AND($E52&lt;&gt;"",$E52&lt;=AA$5+6,$F52&gt;=AA$5),"■","")</x:f>
      </x:c>
      <x:c r="AB52" s="370" t="str">
        <x:f>IF(AND($E52&lt;&gt;"",$E52&lt;=AB$5+6,$F52&gt;=AB$5),"■","")</x:f>
      </x:c>
      <x:c r="AC52" s="370" t="str">
        <x:f>IF(AND($E52&lt;&gt;"",$E52&lt;=AC$5+6,$F52&gt;=AC$5),"■","")</x:f>
      </x:c>
      <x:c r="AD52" s="370" t="str">
        <x:f>IF(AND($E52&lt;&gt;"",$E52&lt;=AD$5+6,$F52&gt;=AD$5),"■","")</x:f>
      </x:c>
      <x:c r="AE52" s="370" t="str">
        <x:f>IF(AND($E52&lt;&gt;"",$E52&lt;=AE$5+6,$F52&gt;=AE$5),"■","")</x:f>
      </x:c>
      <x:c r="AF52" s="370" t="str">
        <x:f>IF(AND($E52&lt;&gt;"",$E52&lt;=AF$5+6,$F52&gt;=AF$5),"■","")</x:f>
      </x:c>
      <x:c r="AG52" s="370" t="str">
        <x:f>IF(AND($E52&lt;&gt;"",$E52&lt;=AG$5+6,$F52&gt;=AG$5),"■","")</x:f>
      </x:c>
      <x:c r="AH52" s="371" t="str">
        <x:f>IF(AND($E52&lt;&gt;"",$E52&lt;=AH$5+6,$F52&gt;=AH$5),"■","")</x:f>
      </x:c>
    </x:row>
    <x:row r="53" ht="38" customHeight="1">
      <x:c r="A53" s="466" t="str">
        <x:f>'作業計画'!A53</x:f>
        <x:v>00047</x:v>
      </x:c>
      <x:c r="B53" s="198" t="str">
        <x:f>'作業計画'!B53</x:f>
        <x:v>04.開発</x:v>
      </x:c>
      <x:c r="C53" s="56" t="str">
        <x:f>'作業計画'!C53</x:f>
        <x:v>GoldWarehouse／SQL endpoint：共通Function作成</x:v>
      </x:c>
      <x:c r="D53" s="56" t="str">
        <x:f>'作業計画'!D53</x:f>
        <x:v>SQL開発担当（要確定）</x:v>
      </x:c>
      <x:c r="E53" s="346" t="n">
        <x:f>IF('作業計画'!O53="","",'作業計画'!O53)</x:f>
        <x:v>46374</x:v>
      </x:c>
      <x:c r="F53" s="346" t="n">
        <x:f>IF('作業計画'!P53="","",'作業計画'!P53)</x:f>
        <x:v>46378</x:v>
      </x:c>
      <x:c r="G53" s="354" t="n">
        <x:f>'作業計画'!U53</x:f>
        <x:v>0</x:v>
      </x:c>
      <x:c r="H53" s="56" t="str">
        <x:f>'作業計画'!V53</x:f>
        <x:v>予定前</x:v>
      </x:c>
      <x:c r="I53" s="372" t="str">
        <x:f>IF(AND($E53&lt;&gt;"",$E53&lt;=I$5+6,$F53&gt;=I$5),"■","")</x:f>
      </x:c>
      <x:c r="J53" s="372" t="str">
        <x:f>IF(AND($E53&lt;&gt;"",$E53&lt;=J$5+6,$F53&gt;=J$5),"■","")</x:f>
      </x:c>
      <x:c r="K53" s="372" t="str">
        <x:f>IF(AND($E53&lt;&gt;"",$E53&lt;=K$5+6,$F53&gt;=K$5),"■","")</x:f>
      </x:c>
      <x:c r="L53" s="372" t="str">
        <x:f>IF(AND($E53&lt;&gt;"",$E53&lt;=L$5+6,$F53&gt;=L$5),"■","")</x:f>
      </x:c>
      <x:c r="M53" s="372" t="str">
        <x:f>IF(AND($E53&lt;&gt;"",$E53&lt;=M$5+6,$F53&gt;=M$5),"■","")</x:f>
      </x:c>
      <x:c r="N53" s="372" t="str">
        <x:f>IF(AND($E53&lt;&gt;"",$E53&lt;=N$5+6,$F53&gt;=N$5),"■","")</x:f>
      </x:c>
      <x:c r="O53" s="372" t="str">
        <x:f>IF(AND($E53&lt;&gt;"",$E53&lt;=O$5+6,$F53&gt;=O$5),"■","")</x:f>
      </x:c>
      <x:c r="P53" s="372" t="str">
        <x:f>IF(AND($E53&lt;&gt;"",$E53&lt;=P$5+6,$F53&gt;=P$5),"■","")</x:f>
      </x:c>
      <x:c r="Q53" s="372" t="str">
        <x:f>IF(AND($E53&lt;&gt;"",$E53&lt;=Q$5+6,$F53&gt;=Q$5),"■","")</x:f>
        <x:v>■</x:v>
      </x:c>
      <x:c r="R53" s="372" t="str">
        <x:f>IF(AND($E53&lt;&gt;"",$E53&lt;=R$5+6,$F53&gt;=R$5),"■","")</x:f>
        <x:v>■</x:v>
      </x:c>
      <x:c r="S53" s="372" t="str">
        <x:f>IF(AND($E53&lt;&gt;"",$E53&lt;=S$5+6,$F53&gt;=S$5),"■","")</x:f>
      </x:c>
      <x:c r="T53" s="372" t="str">
        <x:f>IF(AND($E53&lt;&gt;"",$E53&lt;=T$5+6,$F53&gt;=T$5),"■","")</x:f>
      </x:c>
      <x:c r="U53" s="372" t="str">
        <x:f>IF(AND($E53&lt;&gt;"",$E53&lt;=U$5+6,$F53&gt;=U$5),"■","")</x:f>
      </x:c>
      <x:c r="V53" s="372" t="str">
        <x:f>IF(AND($E53&lt;&gt;"",$E53&lt;=V$5+6,$F53&gt;=V$5),"■","")</x:f>
      </x:c>
      <x:c r="W53" s="372" t="str">
        <x:f>IF(AND($E53&lt;&gt;"",$E53&lt;=W$5+6,$F53&gt;=W$5),"■","")</x:f>
      </x:c>
      <x:c r="X53" s="372" t="str">
        <x:f>IF(AND($E53&lt;&gt;"",$E53&lt;=X$5+6,$F53&gt;=X$5),"■","")</x:f>
      </x:c>
      <x:c r="Y53" s="372" t="str">
        <x:f>IF(AND($E53&lt;&gt;"",$E53&lt;=Y$5+6,$F53&gt;=Y$5),"■","")</x:f>
      </x:c>
      <x:c r="Z53" s="372" t="str">
        <x:f>IF(AND($E53&lt;&gt;"",$E53&lt;=Z$5+6,$F53&gt;=Z$5),"■","")</x:f>
      </x:c>
      <x:c r="AA53" s="372" t="str">
        <x:f>IF(AND($E53&lt;&gt;"",$E53&lt;=AA$5+6,$F53&gt;=AA$5),"■","")</x:f>
      </x:c>
      <x:c r="AB53" s="372" t="str">
        <x:f>IF(AND($E53&lt;&gt;"",$E53&lt;=AB$5+6,$F53&gt;=AB$5),"■","")</x:f>
      </x:c>
      <x:c r="AC53" s="372" t="str">
        <x:f>IF(AND($E53&lt;&gt;"",$E53&lt;=AC$5+6,$F53&gt;=AC$5),"■","")</x:f>
      </x:c>
      <x:c r="AD53" s="372" t="str">
        <x:f>IF(AND($E53&lt;&gt;"",$E53&lt;=AD$5+6,$F53&gt;=AD$5),"■","")</x:f>
      </x:c>
      <x:c r="AE53" s="372" t="str">
        <x:f>IF(AND($E53&lt;&gt;"",$E53&lt;=AE$5+6,$F53&gt;=AE$5),"■","")</x:f>
      </x:c>
      <x:c r="AF53" s="372" t="str">
        <x:f>IF(AND($E53&lt;&gt;"",$E53&lt;=AF$5+6,$F53&gt;=AF$5),"■","")</x:f>
      </x:c>
      <x:c r="AG53" s="372" t="str">
        <x:f>IF(AND($E53&lt;&gt;"",$E53&lt;=AG$5+6,$F53&gt;=AG$5),"■","")</x:f>
      </x:c>
      <x:c r="AH53" s="373" t="str">
        <x:f>IF(AND($E53&lt;&gt;"",$E53&lt;=AH$5+6,$F53&gt;=AH$5),"■","")</x:f>
      </x:c>
    </x:row>
    <x:row r="54" ht="38" customHeight="1">
      <x:c r="A54" s="465" t="str">
        <x:f>'作業計画'!A54</x:f>
        <x:v>00048</x:v>
      </x:c>
      <x:c r="B54" s="198" t="str">
        <x:f>'作業計画'!B54</x:f>
        <x:v>04.開発</x:v>
      </x:c>
      <x:c r="C54" s="48" t="str">
        <x:f>'作業計画'!C54</x:f>
        <x:v>Notebook：共通処理1件の作成</x:v>
      </x:c>
      <x:c r="D54" s="48" t="str">
        <x:f>'作業計画'!D54</x:f>
        <x:v>開発担当（要確定）</x:v>
      </x:c>
      <x:c r="E54" s="345" t="n">
        <x:f>IF('作業計画'!O54="","",'作業計画'!O54)</x:f>
        <x:v>46374</x:v>
      </x:c>
      <x:c r="F54" s="345" t="n">
        <x:f>IF('作業計画'!P54="","",'作業計画'!P54)</x:f>
        <x:v>46378</x:v>
      </x:c>
      <x:c r="G54" s="353" t="n">
        <x:f>'作業計画'!U54</x:f>
        <x:v>0</x:v>
      </x:c>
      <x:c r="H54" s="48" t="str">
        <x:f>'作業計画'!V54</x:f>
        <x:v>予定前</x:v>
      </x:c>
      <x:c r="I54" s="370" t="str">
        <x:f>IF(AND($E54&lt;&gt;"",$E54&lt;=I$5+6,$F54&gt;=I$5),"■","")</x:f>
      </x:c>
      <x:c r="J54" s="370" t="str">
        <x:f>IF(AND($E54&lt;&gt;"",$E54&lt;=J$5+6,$F54&gt;=J$5),"■","")</x:f>
      </x:c>
      <x:c r="K54" s="370" t="str">
        <x:f>IF(AND($E54&lt;&gt;"",$E54&lt;=K$5+6,$F54&gt;=K$5),"■","")</x:f>
      </x:c>
      <x:c r="L54" s="370" t="str">
        <x:f>IF(AND($E54&lt;&gt;"",$E54&lt;=L$5+6,$F54&gt;=L$5),"■","")</x:f>
      </x:c>
      <x:c r="M54" s="370" t="str">
        <x:f>IF(AND($E54&lt;&gt;"",$E54&lt;=M$5+6,$F54&gt;=M$5),"■","")</x:f>
      </x:c>
      <x:c r="N54" s="370" t="str">
        <x:f>IF(AND($E54&lt;&gt;"",$E54&lt;=N$5+6,$F54&gt;=N$5),"■","")</x:f>
      </x:c>
      <x:c r="O54" s="370" t="str">
        <x:f>IF(AND($E54&lt;&gt;"",$E54&lt;=O$5+6,$F54&gt;=O$5),"■","")</x:f>
      </x:c>
      <x:c r="P54" s="370" t="str">
        <x:f>IF(AND($E54&lt;&gt;"",$E54&lt;=P$5+6,$F54&gt;=P$5),"■","")</x:f>
      </x:c>
      <x:c r="Q54" s="370" t="str">
        <x:f>IF(AND($E54&lt;&gt;"",$E54&lt;=Q$5+6,$F54&gt;=Q$5),"■","")</x:f>
        <x:v>■</x:v>
      </x:c>
      <x:c r="R54" s="370" t="str">
        <x:f>IF(AND($E54&lt;&gt;"",$E54&lt;=R$5+6,$F54&gt;=R$5),"■","")</x:f>
        <x:v>■</x:v>
      </x:c>
      <x:c r="S54" s="370" t="str">
        <x:f>IF(AND($E54&lt;&gt;"",$E54&lt;=S$5+6,$F54&gt;=S$5),"■","")</x:f>
      </x:c>
      <x:c r="T54" s="370" t="str">
        <x:f>IF(AND($E54&lt;&gt;"",$E54&lt;=T$5+6,$F54&gt;=T$5),"■","")</x:f>
      </x:c>
      <x:c r="U54" s="370" t="str">
        <x:f>IF(AND($E54&lt;&gt;"",$E54&lt;=U$5+6,$F54&gt;=U$5),"■","")</x:f>
      </x:c>
      <x:c r="V54" s="370" t="str">
        <x:f>IF(AND($E54&lt;&gt;"",$E54&lt;=V$5+6,$F54&gt;=V$5),"■","")</x:f>
      </x:c>
      <x:c r="W54" s="370" t="str">
        <x:f>IF(AND($E54&lt;&gt;"",$E54&lt;=W$5+6,$F54&gt;=W$5),"■","")</x:f>
      </x:c>
      <x:c r="X54" s="370" t="str">
        <x:f>IF(AND($E54&lt;&gt;"",$E54&lt;=X$5+6,$F54&gt;=X$5),"■","")</x:f>
      </x:c>
      <x:c r="Y54" s="370" t="str">
        <x:f>IF(AND($E54&lt;&gt;"",$E54&lt;=Y$5+6,$F54&gt;=Y$5),"■","")</x:f>
      </x:c>
      <x:c r="Z54" s="370" t="str">
        <x:f>IF(AND($E54&lt;&gt;"",$E54&lt;=Z$5+6,$F54&gt;=Z$5),"■","")</x:f>
      </x:c>
      <x:c r="AA54" s="370" t="str">
        <x:f>IF(AND($E54&lt;&gt;"",$E54&lt;=AA$5+6,$F54&gt;=AA$5),"■","")</x:f>
      </x:c>
      <x:c r="AB54" s="370" t="str">
        <x:f>IF(AND($E54&lt;&gt;"",$E54&lt;=AB$5+6,$F54&gt;=AB$5),"■","")</x:f>
      </x:c>
      <x:c r="AC54" s="370" t="str">
        <x:f>IF(AND($E54&lt;&gt;"",$E54&lt;=AC$5+6,$F54&gt;=AC$5),"■","")</x:f>
      </x:c>
      <x:c r="AD54" s="370" t="str">
        <x:f>IF(AND($E54&lt;&gt;"",$E54&lt;=AD$5+6,$F54&gt;=AD$5),"■","")</x:f>
      </x:c>
      <x:c r="AE54" s="370" t="str">
        <x:f>IF(AND($E54&lt;&gt;"",$E54&lt;=AE$5+6,$F54&gt;=AE$5),"■","")</x:f>
      </x:c>
      <x:c r="AF54" s="370" t="str">
        <x:f>IF(AND($E54&lt;&gt;"",$E54&lt;=AF$5+6,$F54&gt;=AF$5),"■","")</x:f>
      </x:c>
      <x:c r="AG54" s="370" t="str">
        <x:f>IF(AND($E54&lt;&gt;"",$E54&lt;=AG$5+6,$F54&gt;=AG$5),"■","")</x:f>
      </x:c>
      <x:c r="AH54" s="371" t="str">
        <x:f>IF(AND($E54&lt;&gt;"",$E54&lt;=AH$5+6,$F54&gt;=AH$5),"■","")</x:f>
      </x:c>
    </x:row>
    <x:row r="55" ht="38" customHeight="1">
      <x:c r="A55" s="466" t="str">
        <x:f>'作業計画'!A55</x:f>
        <x:v>00049</x:v>
      </x:c>
      <x:c r="B55" s="198" t="str">
        <x:f>'作業計画'!B55</x:f>
        <x:v>04.開発</x:v>
      </x:c>
      <x:c r="C55" s="56" t="str">
        <x:f>'作業計画'!C55</x:f>
        <x:v>Notebook：差分更新用1件の作成</x:v>
      </x:c>
      <x:c r="D55" s="56" t="str">
        <x:f>'作業計画'!D55</x:f>
        <x:v>開発担当（要確定）</x:v>
      </x:c>
      <x:c r="E55" s="346" t="n">
        <x:f>IF('作業計画'!O55="","",'作業計画'!O55)</x:f>
        <x:v>46379</x:v>
      </x:c>
      <x:c r="F55" s="346" t="n">
        <x:f>IF('作業計画'!P55="","",'作業計画'!P55)</x:f>
        <x:v>46384</x:v>
      </x:c>
      <x:c r="G55" s="354" t="n">
        <x:f>'作業計画'!U55</x:f>
        <x:v>0</x:v>
      </x:c>
      <x:c r="H55" s="56" t="str">
        <x:f>'作業計画'!V55</x:f>
        <x:v>予定前</x:v>
      </x:c>
      <x:c r="I55" s="372" t="str">
        <x:f>IF(AND($E55&lt;&gt;"",$E55&lt;=I$5+6,$F55&gt;=I$5),"■","")</x:f>
      </x:c>
      <x:c r="J55" s="372" t="str">
        <x:f>IF(AND($E55&lt;&gt;"",$E55&lt;=J$5+6,$F55&gt;=J$5),"■","")</x:f>
      </x:c>
      <x:c r="K55" s="372" t="str">
        <x:f>IF(AND($E55&lt;&gt;"",$E55&lt;=K$5+6,$F55&gt;=K$5),"■","")</x:f>
      </x:c>
      <x:c r="L55" s="372" t="str">
        <x:f>IF(AND($E55&lt;&gt;"",$E55&lt;=L$5+6,$F55&gt;=L$5),"■","")</x:f>
      </x:c>
      <x:c r="M55" s="372" t="str">
        <x:f>IF(AND($E55&lt;&gt;"",$E55&lt;=M$5+6,$F55&gt;=M$5),"■","")</x:f>
      </x:c>
      <x:c r="N55" s="372" t="str">
        <x:f>IF(AND($E55&lt;&gt;"",$E55&lt;=N$5+6,$F55&gt;=N$5),"■","")</x:f>
      </x:c>
      <x:c r="O55" s="372" t="str">
        <x:f>IF(AND($E55&lt;&gt;"",$E55&lt;=O$5+6,$F55&gt;=O$5),"■","")</x:f>
      </x:c>
      <x:c r="P55" s="372" t="str">
        <x:f>IF(AND($E55&lt;&gt;"",$E55&lt;=P$5+6,$F55&gt;=P$5),"■","")</x:f>
      </x:c>
      <x:c r="Q55" s="372" t="str">
        <x:f>IF(AND($E55&lt;&gt;"",$E55&lt;=Q$5+6,$F55&gt;=Q$5),"■","")</x:f>
      </x:c>
      <x:c r="R55" s="372" t="str">
        <x:f>IF(AND($E55&lt;&gt;"",$E55&lt;=R$5+6,$F55&gt;=R$5),"■","")</x:f>
        <x:v>■</x:v>
      </x:c>
      <x:c r="S55" s="372" t="str">
        <x:f>IF(AND($E55&lt;&gt;"",$E55&lt;=S$5+6,$F55&gt;=S$5),"■","")</x:f>
        <x:v>■</x:v>
      </x:c>
      <x:c r="T55" s="372" t="str">
        <x:f>IF(AND($E55&lt;&gt;"",$E55&lt;=T$5+6,$F55&gt;=T$5),"■","")</x:f>
      </x:c>
      <x:c r="U55" s="372" t="str">
        <x:f>IF(AND($E55&lt;&gt;"",$E55&lt;=U$5+6,$F55&gt;=U$5),"■","")</x:f>
      </x:c>
      <x:c r="V55" s="372" t="str">
        <x:f>IF(AND($E55&lt;&gt;"",$E55&lt;=V$5+6,$F55&gt;=V$5),"■","")</x:f>
      </x:c>
      <x:c r="W55" s="372" t="str">
        <x:f>IF(AND($E55&lt;&gt;"",$E55&lt;=W$5+6,$F55&gt;=W$5),"■","")</x:f>
      </x:c>
      <x:c r="X55" s="372" t="str">
        <x:f>IF(AND($E55&lt;&gt;"",$E55&lt;=X$5+6,$F55&gt;=X$5),"■","")</x:f>
      </x:c>
      <x:c r="Y55" s="372" t="str">
        <x:f>IF(AND($E55&lt;&gt;"",$E55&lt;=Y$5+6,$F55&gt;=Y$5),"■","")</x:f>
      </x:c>
      <x:c r="Z55" s="372" t="str">
        <x:f>IF(AND($E55&lt;&gt;"",$E55&lt;=Z$5+6,$F55&gt;=Z$5),"■","")</x:f>
      </x:c>
      <x:c r="AA55" s="372" t="str">
        <x:f>IF(AND($E55&lt;&gt;"",$E55&lt;=AA$5+6,$F55&gt;=AA$5),"■","")</x:f>
      </x:c>
      <x:c r="AB55" s="372" t="str">
        <x:f>IF(AND($E55&lt;&gt;"",$E55&lt;=AB$5+6,$F55&gt;=AB$5),"■","")</x:f>
      </x:c>
      <x:c r="AC55" s="372" t="str">
        <x:f>IF(AND($E55&lt;&gt;"",$E55&lt;=AC$5+6,$F55&gt;=AC$5),"■","")</x:f>
      </x:c>
      <x:c r="AD55" s="372" t="str">
        <x:f>IF(AND($E55&lt;&gt;"",$E55&lt;=AD$5+6,$F55&gt;=AD$5),"■","")</x:f>
      </x:c>
      <x:c r="AE55" s="372" t="str">
        <x:f>IF(AND($E55&lt;&gt;"",$E55&lt;=AE$5+6,$F55&gt;=AE$5),"■","")</x:f>
      </x:c>
      <x:c r="AF55" s="372" t="str">
        <x:f>IF(AND($E55&lt;&gt;"",$E55&lt;=AF$5+6,$F55&gt;=AF$5),"■","")</x:f>
      </x:c>
      <x:c r="AG55" s="372" t="str">
        <x:f>IF(AND($E55&lt;&gt;"",$E55&lt;=AG$5+6,$F55&gt;=AG$5),"■","")</x:f>
      </x:c>
      <x:c r="AH55" s="373" t="str">
        <x:f>IF(AND($E55&lt;&gt;"",$E55&lt;=AH$5+6,$F55&gt;=AH$5),"■","")</x:f>
      </x:c>
    </x:row>
    <x:row r="56" ht="38" customHeight="1">
      <x:c r="A56" s="465" t="str">
        <x:f>'作業計画'!A56</x:f>
        <x:v>00050</x:v>
      </x:c>
      <x:c r="B56" s="198" t="str">
        <x:f>'作業計画'!B56</x:f>
        <x:v>04.開発</x:v>
      </x:c>
      <x:c r="C56" s="48" t="str">
        <x:f>'作業計画'!C56</x:f>
        <x:v>GoldWarehouse／SQL endpoint：出力向けView作成</x:v>
      </x:c>
      <x:c r="D56" s="48" t="str">
        <x:f>'作業計画'!D56</x:f>
        <x:v>SQL開発担当（要確定）</x:v>
      </x:c>
      <x:c r="E56" s="345" t="n">
        <x:f>IF('作業計画'!O56="","",'作業計画'!O56)</x:f>
        <x:v>46379</x:v>
      </x:c>
      <x:c r="F56" s="345" t="n">
        <x:f>IF('作業計画'!P56="","",'作業計画'!P56)</x:f>
        <x:v>46381</x:v>
      </x:c>
      <x:c r="G56" s="353" t="n">
        <x:f>'作業計画'!U56</x:f>
        <x:v>0</x:v>
      </x:c>
      <x:c r="H56" s="48" t="str">
        <x:f>'作業計画'!V56</x:f>
        <x:v>予定前</x:v>
      </x:c>
      <x:c r="I56" s="370" t="str">
        <x:f>IF(AND($E56&lt;&gt;"",$E56&lt;=I$5+6,$F56&gt;=I$5),"■","")</x:f>
      </x:c>
      <x:c r="J56" s="370" t="str">
        <x:f>IF(AND($E56&lt;&gt;"",$E56&lt;=J$5+6,$F56&gt;=J$5),"■","")</x:f>
      </x:c>
      <x:c r="K56" s="370" t="str">
        <x:f>IF(AND($E56&lt;&gt;"",$E56&lt;=K$5+6,$F56&gt;=K$5),"■","")</x:f>
      </x:c>
      <x:c r="L56" s="370" t="str">
        <x:f>IF(AND($E56&lt;&gt;"",$E56&lt;=L$5+6,$F56&gt;=L$5),"■","")</x:f>
      </x:c>
      <x:c r="M56" s="370" t="str">
        <x:f>IF(AND($E56&lt;&gt;"",$E56&lt;=M$5+6,$F56&gt;=M$5),"■","")</x:f>
      </x:c>
      <x:c r="N56" s="370" t="str">
        <x:f>IF(AND($E56&lt;&gt;"",$E56&lt;=N$5+6,$F56&gt;=N$5),"■","")</x:f>
      </x:c>
      <x:c r="O56" s="370" t="str">
        <x:f>IF(AND($E56&lt;&gt;"",$E56&lt;=O$5+6,$F56&gt;=O$5),"■","")</x:f>
      </x:c>
      <x:c r="P56" s="370" t="str">
        <x:f>IF(AND($E56&lt;&gt;"",$E56&lt;=P$5+6,$F56&gt;=P$5),"■","")</x:f>
      </x:c>
      <x:c r="Q56" s="370" t="str">
        <x:f>IF(AND($E56&lt;&gt;"",$E56&lt;=Q$5+6,$F56&gt;=Q$5),"■","")</x:f>
      </x:c>
      <x:c r="R56" s="370" t="str">
        <x:f>IF(AND($E56&lt;&gt;"",$E56&lt;=R$5+6,$F56&gt;=R$5),"■","")</x:f>
        <x:v>■</x:v>
      </x:c>
      <x:c r="S56" s="370" t="str">
        <x:f>IF(AND($E56&lt;&gt;"",$E56&lt;=S$5+6,$F56&gt;=S$5),"■","")</x:f>
      </x:c>
      <x:c r="T56" s="370" t="str">
        <x:f>IF(AND($E56&lt;&gt;"",$E56&lt;=T$5+6,$F56&gt;=T$5),"■","")</x:f>
      </x:c>
      <x:c r="U56" s="370" t="str">
        <x:f>IF(AND($E56&lt;&gt;"",$E56&lt;=U$5+6,$F56&gt;=U$5),"■","")</x:f>
      </x:c>
      <x:c r="V56" s="370" t="str">
        <x:f>IF(AND($E56&lt;&gt;"",$E56&lt;=V$5+6,$F56&gt;=V$5),"■","")</x:f>
      </x:c>
      <x:c r="W56" s="370" t="str">
        <x:f>IF(AND($E56&lt;&gt;"",$E56&lt;=W$5+6,$F56&gt;=W$5),"■","")</x:f>
      </x:c>
      <x:c r="X56" s="370" t="str">
        <x:f>IF(AND($E56&lt;&gt;"",$E56&lt;=X$5+6,$F56&gt;=X$5),"■","")</x:f>
      </x:c>
      <x:c r="Y56" s="370" t="str">
        <x:f>IF(AND($E56&lt;&gt;"",$E56&lt;=Y$5+6,$F56&gt;=Y$5),"■","")</x:f>
      </x:c>
      <x:c r="Z56" s="370" t="str">
        <x:f>IF(AND($E56&lt;&gt;"",$E56&lt;=Z$5+6,$F56&gt;=Z$5),"■","")</x:f>
      </x:c>
      <x:c r="AA56" s="370" t="str">
        <x:f>IF(AND($E56&lt;&gt;"",$E56&lt;=AA$5+6,$F56&gt;=AA$5),"■","")</x:f>
      </x:c>
      <x:c r="AB56" s="370" t="str">
        <x:f>IF(AND($E56&lt;&gt;"",$E56&lt;=AB$5+6,$F56&gt;=AB$5),"■","")</x:f>
      </x:c>
      <x:c r="AC56" s="370" t="str">
        <x:f>IF(AND($E56&lt;&gt;"",$E56&lt;=AC$5+6,$F56&gt;=AC$5),"■","")</x:f>
      </x:c>
      <x:c r="AD56" s="370" t="str">
        <x:f>IF(AND($E56&lt;&gt;"",$E56&lt;=AD$5+6,$F56&gt;=AD$5),"■","")</x:f>
      </x:c>
      <x:c r="AE56" s="370" t="str">
        <x:f>IF(AND($E56&lt;&gt;"",$E56&lt;=AE$5+6,$F56&gt;=AE$5),"■","")</x:f>
      </x:c>
      <x:c r="AF56" s="370" t="str">
        <x:f>IF(AND($E56&lt;&gt;"",$E56&lt;=AF$5+6,$F56&gt;=AF$5),"■","")</x:f>
      </x:c>
      <x:c r="AG56" s="370" t="str">
        <x:f>IF(AND($E56&lt;&gt;"",$E56&lt;=AG$5+6,$F56&gt;=AG$5),"■","")</x:f>
      </x:c>
      <x:c r="AH56" s="371" t="str">
        <x:f>IF(AND($E56&lt;&gt;"",$E56&lt;=AH$5+6,$F56&gt;=AH$5),"■","")</x:f>
      </x:c>
    </x:row>
    <x:row r="57" ht="38" customHeight="1">
      <x:c r="A57" s="466" t="str">
        <x:f>'作業計画'!A57</x:f>
        <x:v>00051</x:v>
      </x:c>
      <x:c r="B57" s="198" t="str">
        <x:f>'作業計画'!B57</x:f>
        <x:v>04.開発</x:v>
      </x:c>
      <x:c r="C57" s="56" t="str">
        <x:f>'作業計画'!C57</x:f>
        <x:v>Product：加工Notebook作成</x:v>
      </x:c>
      <x:c r="D57" s="56" t="str">
        <x:f>'作業計画'!D57</x:f>
        <x:v>開発担当（要確定）</x:v>
      </x:c>
      <x:c r="E57" s="346" t="n">
        <x:f>IF('作業計画'!O57="","",'作業計画'!O57)</x:f>
        <x:v>46384</x:v>
      </x:c>
      <x:c r="F57" s="346" t="n">
        <x:f>IF('作業計画'!P57="","",'作業計画'!P57)</x:f>
        <x:v>46388</x:v>
      </x:c>
      <x:c r="G57" s="354" t="n">
        <x:f>'作業計画'!U57</x:f>
        <x:v>0</x:v>
      </x:c>
      <x:c r="H57" s="56" t="str">
        <x:f>'作業計画'!V57</x:f>
        <x:v>予定前</x:v>
      </x:c>
      <x:c r="I57" s="372" t="str">
        <x:f>IF(AND($E57&lt;&gt;"",$E57&lt;=I$5+6,$F57&gt;=I$5),"■","")</x:f>
      </x:c>
      <x:c r="J57" s="372" t="str">
        <x:f>IF(AND($E57&lt;&gt;"",$E57&lt;=J$5+6,$F57&gt;=J$5),"■","")</x:f>
      </x:c>
      <x:c r="K57" s="372" t="str">
        <x:f>IF(AND($E57&lt;&gt;"",$E57&lt;=K$5+6,$F57&gt;=K$5),"■","")</x:f>
      </x:c>
      <x:c r="L57" s="372" t="str">
        <x:f>IF(AND($E57&lt;&gt;"",$E57&lt;=L$5+6,$F57&gt;=L$5),"■","")</x:f>
      </x:c>
      <x:c r="M57" s="372" t="str">
        <x:f>IF(AND($E57&lt;&gt;"",$E57&lt;=M$5+6,$F57&gt;=M$5),"■","")</x:f>
      </x:c>
      <x:c r="N57" s="372" t="str">
        <x:f>IF(AND($E57&lt;&gt;"",$E57&lt;=N$5+6,$F57&gt;=N$5),"■","")</x:f>
      </x:c>
      <x:c r="O57" s="372" t="str">
        <x:f>IF(AND($E57&lt;&gt;"",$E57&lt;=O$5+6,$F57&gt;=O$5),"■","")</x:f>
      </x:c>
      <x:c r="P57" s="372" t="str">
        <x:f>IF(AND($E57&lt;&gt;"",$E57&lt;=P$5+6,$F57&gt;=P$5),"■","")</x:f>
      </x:c>
      <x:c r="Q57" s="372" t="str">
        <x:f>IF(AND($E57&lt;&gt;"",$E57&lt;=Q$5+6,$F57&gt;=Q$5),"■","")</x:f>
      </x:c>
      <x:c r="R57" s="372" t="str">
        <x:f>IF(AND($E57&lt;&gt;"",$E57&lt;=R$5+6,$F57&gt;=R$5),"■","")</x:f>
      </x:c>
      <x:c r="S57" s="372" t="str">
        <x:f>IF(AND($E57&lt;&gt;"",$E57&lt;=S$5+6,$F57&gt;=S$5),"■","")</x:f>
        <x:v>■</x:v>
      </x:c>
      <x:c r="T57" s="372" t="str">
        <x:f>IF(AND($E57&lt;&gt;"",$E57&lt;=T$5+6,$F57&gt;=T$5),"■","")</x:f>
      </x:c>
      <x:c r="U57" s="372" t="str">
        <x:f>IF(AND($E57&lt;&gt;"",$E57&lt;=U$5+6,$F57&gt;=U$5),"■","")</x:f>
      </x:c>
      <x:c r="V57" s="372" t="str">
        <x:f>IF(AND($E57&lt;&gt;"",$E57&lt;=V$5+6,$F57&gt;=V$5),"■","")</x:f>
      </x:c>
      <x:c r="W57" s="372" t="str">
        <x:f>IF(AND($E57&lt;&gt;"",$E57&lt;=W$5+6,$F57&gt;=W$5),"■","")</x:f>
      </x:c>
      <x:c r="X57" s="372" t="str">
        <x:f>IF(AND($E57&lt;&gt;"",$E57&lt;=X$5+6,$F57&gt;=X$5),"■","")</x:f>
      </x:c>
      <x:c r="Y57" s="372" t="str">
        <x:f>IF(AND($E57&lt;&gt;"",$E57&lt;=Y$5+6,$F57&gt;=Y$5),"■","")</x:f>
      </x:c>
      <x:c r="Z57" s="372" t="str">
        <x:f>IF(AND($E57&lt;&gt;"",$E57&lt;=Z$5+6,$F57&gt;=Z$5),"■","")</x:f>
      </x:c>
      <x:c r="AA57" s="372" t="str">
        <x:f>IF(AND($E57&lt;&gt;"",$E57&lt;=AA$5+6,$F57&gt;=AA$5),"■","")</x:f>
      </x:c>
      <x:c r="AB57" s="372" t="str">
        <x:f>IF(AND($E57&lt;&gt;"",$E57&lt;=AB$5+6,$F57&gt;=AB$5),"■","")</x:f>
      </x:c>
      <x:c r="AC57" s="372" t="str">
        <x:f>IF(AND($E57&lt;&gt;"",$E57&lt;=AC$5+6,$F57&gt;=AC$5),"■","")</x:f>
      </x:c>
      <x:c r="AD57" s="372" t="str">
        <x:f>IF(AND($E57&lt;&gt;"",$E57&lt;=AD$5+6,$F57&gt;=AD$5),"■","")</x:f>
      </x:c>
      <x:c r="AE57" s="372" t="str">
        <x:f>IF(AND($E57&lt;&gt;"",$E57&lt;=AE$5+6,$F57&gt;=AE$5),"■","")</x:f>
      </x:c>
      <x:c r="AF57" s="372" t="str">
        <x:f>IF(AND($E57&lt;&gt;"",$E57&lt;=AF$5+6,$F57&gt;=AF$5),"■","")</x:f>
      </x:c>
      <x:c r="AG57" s="372" t="str">
        <x:f>IF(AND($E57&lt;&gt;"",$E57&lt;=AG$5+6,$F57&gt;=AG$5),"■","")</x:f>
      </x:c>
      <x:c r="AH57" s="373" t="str">
        <x:f>IF(AND($E57&lt;&gt;"",$E57&lt;=AH$5+6,$F57&gt;=AH$5),"■","")</x:f>
      </x:c>
    </x:row>
    <x:row r="58" ht="38" customHeight="1">
      <x:c r="A58" s="465" t="str">
        <x:f>'作業計画'!A58</x:f>
        <x:v>00052</x:v>
      </x:c>
      <x:c r="B58" s="198" t="str">
        <x:f>'作業計画'!B58</x:f>
        <x:v>04.開発</x:v>
      </x:c>
      <x:c r="C58" s="48" t="str">
        <x:f>'作業計画'!C58</x:f>
        <x:v>Contact：加工Notebook作成</x:v>
      </x:c>
      <x:c r="D58" s="48" t="str">
        <x:f>'作業計画'!D58</x:f>
        <x:v>開発担当（要確定）</x:v>
      </x:c>
      <x:c r="E58" s="345" t="n">
        <x:f>IF('作業計画'!O58="","",'作業計画'!O58)</x:f>
        <x:v>46384</x:v>
      </x:c>
      <x:c r="F58" s="345" t="n">
        <x:f>IF('作業計画'!P58="","",'作業計画'!P58)</x:f>
        <x:v>46388</x:v>
      </x:c>
      <x:c r="G58" s="353" t="n">
        <x:f>'作業計画'!U58</x:f>
        <x:v>0</x:v>
      </x:c>
      <x:c r="H58" s="48" t="str">
        <x:f>'作業計画'!V58</x:f>
        <x:v>予定前</x:v>
      </x:c>
      <x:c r="I58" s="370" t="str">
        <x:f>IF(AND($E58&lt;&gt;"",$E58&lt;=I$5+6,$F58&gt;=I$5),"■","")</x:f>
      </x:c>
      <x:c r="J58" s="370" t="str">
        <x:f>IF(AND($E58&lt;&gt;"",$E58&lt;=J$5+6,$F58&gt;=J$5),"■","")</x:f>
      </x:c>
      <x:c r="K58" s="370" t="str">
        <x:f>IF(AND($E58&lt;&gt;"",$E58&lt;=K$5+6,$F58&gt;=K$5),"■","")</x:f>
      </x:c>
      <x:c r="L58" s="370" t="str">
        <x:f>IF(AND($E58&lt;&gt;"",$E58&lt;=L$5+6,$F58&gt;=L$5),"■","")</x:f>
      </x:c>
      <x:c r="M58" s="370" t="str">
        <x:f>IF(AND($E58&lt;&gt;"",$E58&lt;=M$5+6,$F58&gt;=M$5),"■","")</x:f>
      </x:c>
      <x:c r="N58" s="370" t="str">
        <x:f>IF(AND($E58&lt;&gt;"",$E58&lt;=N$5+6,$F58&gt;=N$5),"■","")</x:f>
      </x:c>
      <x:c r="O58" s="370" t="str">
        <x:f>IF(AND($E58&lt;&gt;"",$E58&lt;=O$5+6,$F58&gt;=O$5),"■","")</x:f>
      </x:c>
      <x:c r="P58" s="370" t="str">
        <x:f>IF(AND($E58&lt;&gt;"",$E58&lt;=P$5+6,$F58&gt;=P$5),"■","")</x:f>
      </x:c>
      <x:c r="Q58" s="370" t="str">
        <x:f>IF(AND($E58&lt;&gt;"",$E58&lt;=Q$5+6,$F58&gt;=Q$5),"■","")</x:f>
      </x:c>
      <x:c r="R58" s="370" t="str">
        <x:f>IF(AND($E58&lt;&gt;"",$E58&lt;=R$5+6,$F58&gt;=R$5),"■","")</x:f>
      </x:c>
      <x:c r="S58" s="370" t="str">
        <x:f>IF(AND($E58&lt;&gt;"",$E58&lt;=S$5+6,$F58&gt;=S$5),"■","")</x:f>
        <x:v>■</x:v>
      </x:c>
      <x:c r="T58" s="370" t="str">
        <x:f>IF(AND($E58&lt;&gt;"",$E58&lt;=T$5+6,$F58&gt;=T$5),"■","")</x:f>
      </x:c>
      <x:c r="U58" s="370" t="str">
        <x:f>IF(AND($E58&lt;&gt;"",$E58&lt;=U$5+6,$F58&gt;=U$5),"■","")</x:f>
      </x:c>
      <x:c r="V58" s="370" t="str">
        <x:f>IF(AND($E58&lt;&gt;"",$E58&lt;=V$5+6,$F58&gt;=V$5),"■","")</x:f>
      </x:c>
      <x:c r="W58" s="370" t="str">
        <x:f>IF(AND($E58&lt;&gt;"",$E58&lt;=W$5+6,$F58&gt;=W$5),"■","")</x:f>
      </x:c>
      <x:c r="X58" s="370" t="str">
        <x:f>IF(AND($E58&lt;&gt;"",$E58&lt;=X$5+6,$F58&gt;=X$5),"■","")</x:f>
      </x:c>
      <x:c r="Y58" s="370" t="str">
        <x:f>IF(AND($E58&lt;&gt;"",$E58&lt;=Y$5+6,$F58&gt;=Y$5),"■","")</x:f>
      </x:c>
      <x:c r="Z58" s="370" t="str">
        <x:f>IF(AND($E58&lt;&gt;"",$E58&lt;=Z$5+6,$F58&gt;=Z$5),"■","")</x:f>
      </x:c>
      <x:c r="AA58" s="370" t="str">
        <x:f>IF(AND($E58&lt;&gt;"",$E58&lt;=AA$5+6,$F58&gt;=AA$5),"■","")</x:f>
      </x:c>
      <x:c r="AB58" s="370" t="str">
        <x:f>IF(AND($E58&lt;&gt;"",$E58&lt;=AB$5+6,$F58&gt;=AB$5),"■","")</x:f>
      </x:c>
      <x:c r="AC58" s="370" t="str">
        <x:f>IF(AND($E58&lt;&gt;"",$E58&lt;=AC$5+6,$F58&gt;=AC$5),"■","")</x:f>
      </x:c>
      <x:c r="AD58" s="370" t="str">
        <x:f>IF(AND($E58&lt;&gt;"",$E58&lt;=AD$5+6,$F58&gt;=AD$5),"■","")</x:f>
      </x:c>
      <x:c r="AE58" s="370" t="str">
        <x:f>IF(AND($E58&lt;&gt;"",$E58&lt;=AE$5+6,$F58&gt;=AE$5),"■","")</x:f>
      </x:c>
      <x:c r="AF58" s="370" t="str">
        <x:f>IF(AND($E58&lt;&gt;"",$E58&lt;=AF$5+6,$F58&gt;=AF$5),"■","")</x:f>
      </x:c>
      <x:c r="AG58" s="370" t="str">
        <x:f>IF(AND($E58&lt;&gt;"",$E58&lt;=AG$5+6,$F58&gt;=AG$5),"■","")</x:f>
      </x:c>
      <x:c r="AH58" s="371" t="str">
        <x:f>IF(AND($E58&lt;&gt;"",$E58&lt;=AH$5+6,$F58&gt;=AH$5),"■","")</x:f>
      </x:c>
    </x:row>
    <x:row r="59" ht="38" customHeight="1">
      <x:c r="A59" s="466" t="str">
        <x:f>'作業計画'!A59</x:f>
        <x:v>00053</x:v>
      </x:c>
      <x:c r="B59" s="198" t="str">
        <x:f>'作業計画'!B59</x:f>
        <x:v>04.開発</x:v>
      </x:c>
      <x:c r="C59" s="56" t="str">
        <x:f>'作業計画'!C59</x:f>
        <x:v>Account：加工Notebook作成</x:v>
      </x:c>
      <x:c r="D59" s="56" t="str">
        <x:f>'作業計画'!D59</x:f>
        <x:v>開発担当（要確定）</x:v>
      </x:c>
      <x:c r="E59" s="346" t="n">
        <x:f>IF('作業計画'!O59="","",'作業計画'!O59)</x:f>
        <x:v>46384</x:v>
      </x:c>
      <x:c r="F59" s="346" t="n">
        <x:f>IF('作業計画'!P59="","",'作業計画'!P59)</x:f>
        <x:v>46388</x:v>
      </x:c>
      <x:c r="G59" s="354" t="n">
        <x:f>'作業計画'!U59</x:f>
        <x:v>0</x:v>
      </x:c>
      <x:c r="H59" s="56" t="str">
        <x:f>'作業計画'!V59</x:f>
        <x:v>予定前</x:v>
      </x:c>
      <x:c r="I59" s="372" t="str">
        <x:f>IF(AND($E59&lt;&gt;"",$E59&lt;=I$5+6,$F59&gt;=I$5),"■","")</x:f>
      </x:c>
      <x:c r="J59" s="372" t="str">
        <x:f>IF(AND($E59&lt;&gt;"",$E59&lt;=J$5+6,$F59&gt;=J$5),"■","")</x:f>
      </x:c>
      <x:c r="K59" s="372" t="str">
        <x:f>IF(AND($E59&lt;&gt;"",$E59&lt;=K$5+6,$F59&gt;=K$5),"■","")</x:f>
      </x:c>
      <x:c r="L59" s="372" t="str">
        <x:f>IF(AND($E59&lt;&gt;"",$E59&lt;=L$5+6,$F59&gt;=L$5),"■","")</x:f>
      </x:c>
      <x:c r="M59" s="372" t="str">
        <x:f>IF(AND($E59&lt;&gt;"",$E59&lt;=M$5+6,$F59&gt;=M$5),"■","")</x:f>
      </x:c>
      <x:c r="N59" s="372" t="str">
        <x:f>IF(AND($E59&lt;&gt;"",$E59&lt;=N$5+6,$F59&gt;=N$5),"■","")</x:f>
      </x:c>
      <x:c r="O59" s="372" t="str">
        <x:f>IF(AND($E59&lt;&gt;"",$E59&lt;=O$5+6,$F59&gt;=O$5),"■","")</x:f>
      </x:c>
      <x:c r="P59" s="372" t="str">
        <x:f>IF(AND($E59&lt;&gt;"",$E59&lt;=P$5+6,$F59&gt;=P$5),"■","")</x:f>
      </x:c>
      <x:c r="Q59" s="372" t="str">
        <x:f>IF(AND($E59&lt;&gt;"",$E59&lt;=Q$5+6,$F59&gt;=Q$5),"■","")</x:f>
      </x:c>
      <x:c r="R59" s="372" t="str">
        <x:f>IF(AND($E59&lt;&gt;"",$E59&lt;=R$5+6,$F59&gt;=R$5),"■","")</x:f>
      </x:c>
      <x:c r="S59" s="372" t="str">
        <x:f>IF(AND($E59&lt;&gt;"",$E59&lt;=S$5+6,$F59&gt;=S$5),"■","")</x:f>
        <x:v>■</x:v>
      </x:c>
      <x:c r="T59" s="372" t="str">
        <x:f>IF(AND($E59&lt;&gt;"",$E59&lt;=T$5+6,$F59&gt;=T$5),"■","")</x:f>
      </x:c>
      <x:c r="U59" s="372" t="str">
        <x:f>IF(AND($E59&lt;&gt;"",$E59&lt;=U$5+6,$F59&gt;=U$5),"■","")</x:f>
      </x:c>
      <x:c r="V59" s="372" t="str">
        <x:f>IF(AND($E59&lt;&gt;"",$E59&lt;=V$5+6,$F59&gt;=V$5),"■","")</x:f>
      </x:c>
      <x:c r="W59" s="372" t="str">
        <x:f>IF(AND($E59&lt;&gt;"",$E59&lt;=W$5+6,$F59&gt;=W$5),"■","")</x:f>
      </x:c>
      <x:c r="X59" s="372" t="str">
        <x:f>IF(AND($E59&lt;&gt;"",$E59&lt;=X$5+6,$F59&gt;=X$5),"■","")</x:f>
      </x:c>
      <x:c r="Y59" s="372" t="str">
        <x:f>IF(AND($E59&lt;&gt;"",$E59&lt;=Y$5+6,$F59&gt;=Y$5),"■","")</x:f>
      </x:c>
      <x:c r="Z59" s="372" t="str">
        <x:f>IF(AND($E59&lt;&gt;"",$E59&lt;=Z$5+6,$F59&gt;=Z$5),"■","")</x:f>
      </x:c>
      <x:c r="AA59" s="372" t="str">
        <x:f>IF(AND($E59&lt;&gt;"",$E59&lt;=AA$5+6,$F59&gt;=AA$5),"■","")</x:f>
      </x:c>
      <x:c r="AB59" s="372" t="str">
        <x:f>IF(AND($E59&lt;&gt;"",$E59&lt;=AB$5+6,$F59&gt;=AB$5),"■","")</x:f>
      </x:c>
      <x:c r="AC59" s="372" t="str">
        <x:f>IF(AND($E59&lt;&gt;"",$E59&lt;=AC$5+6,$F59&gt;=AC$5),"■","")</x:f>
      </x:c>
      <x:c r="AD59" s="372" t="str">
        <x:f>IF(AND($E59&lt;&gt;"",$E59&lt;=AD$5+6,$F59&gt;=AD$5),"■","")</x:f>
      </x:c>
      <x:c r="AE59" s="372" t="str">
        <x:f>IF(AND($E59&lt;&gt;"",$E59&lt;=AE$5+6,$F59&gt;=AE$5),"■","")</x:f>
      </x:c>
      <x:c r="AF59" s="372" t="str">
        <x:f>IF(AND($E59&lt;&gt;"",$E59&lt;=AF$5+6,$F59&gt;=AF$5),"■","")</x:f>
      </x:c>
      <x:c r="AG59" s="372" t="str">
        <x:f>IF(AND($E59&lt;&gt;"",$E59&lt;=AG$5+6,$F59&gt;=AG$5),"■","")</x:f>
      </x:c>
      <x:c r="AH59" s="373" t="str">
        <x:f>IF(AND($E59&lt;&gt;"",$E59&lt;=AH$5+6,$F59&gt;=AH$5),"■","")</x:f>
      </x:c>
    </x:row>
    <x:row r="60" ht="38" customHeight="1">
      <x:c r="A60" s="465" t="str">
        <x:f>'作業計画'!A60</x:f>
        <x:v>00054</x:v>
      </x:c>
      <x:c r="B60" s="198" t="str">
        <x:f>'作業計画'!B60</x:f>
        <x:v>04.開発</x:v>
      </x:c>
      <x:c r="C60" s="48" t="str">
        <x:f>'作業計画'!C60</x:f>
        <x:v>AccountContact：加工Notebook作成</x:v>
      </x:c>
      <x:c r="D60" s="48" t="str">
        <x:f>'作業計画'!D60</x:f>
        <x:v>開発担当（要確定）</x:v>
      </x:c>
      <x:c r="E60" s="345" t="n">
        <x:f>IF('作業計画'!O60="","",'作業計画'!O60)</x:f>
        <x:v>46384</x:v>
      </x:c>
      <x:c r="F60" s="345" t="n">
        <x:f>IF('作業計画'!P60="","",'作業計画'!P60)</x:f>
        <x:v>46388</x:v>
      </x:c>
      <x:c r="G60" s="353" t="n">
        <x:f>'作業計画'!U60</x:f>
        <x:v>0</x:v>
      </x:c>
      <x:c r="H60" s="48" t="str">
        <x:f>'作業計画'!V60</x:f>
        <x:v>予定前</x:v>
      </x:c>
      <x:c r="I60" s="370" t="str">
        <x:f>IF(AND($E60&lt;&gt;"",$E60&lt;=I$5+6,$F60&gt;=I$5),"■","")</x:f>
      </x:c>
      <x:c r="J60" s="370" t="str">
        <x:f>IF(AND($E60&lt;&gt;"",$E60&lt;=J$5+6,$F60&gt;=J$5),"■","")</x:f>
      </x:c>
      <x:c r="K60" s="370" t="str">
        <x:f>IF(AND($E60&lt;&gt;"",$E60&lt;=K$5+6,$F60&gt;=K$5),"■","")</x:f>
      </x:c>
      <x:c r="L60" s="370" t="str">
        <x:f>IF(AND($E60&lt;&gt;"",$E60&lt;=L$5+6,$F60&gt;=L$5),"■","")</x:f>
      </x:c>
      <x:c r="M60" s="370" t="str">
        <x:f>IF(AND($E60&lt;&gt;"",$E60&lt;=M$5+6,$F60&gt;=M$5),"■","")</x:f>
      </x:c>
      <x:c r="N60" s="370" t="str">
        <x:f>IF(AND($E60&lt;&gt;"",$E60&lt;=N$5+6,$F60&gt;=N$5),"■","")</x:f>
      </x:c>
      <x:c r="O60" s="370" t="str">
        <x:f>IF(AND($E60&lt;&gt;"",$E60&lt;=O$5+6,$F60&gt;=O$5),"■","")</x:f>
      </x:c>
      <x:c r="P60" s="370" t="str">
        <x:f>IF(AND($E60&lt;&gt;"",$E60&lt;=P$5+6,$F60&gt;=P$5),"■","")</x:f>
      </x:c>
      <x:c r="Q60" s="370" t="str">
        <x:f>IF(AND($E60&lt;&gt;"",$E60&lt;=Q$5+6,$F60&gt;=Q$5),"■","")</x:f>
      </x:c>
      <x:c r="R60" s="370" t="str">
        <x:f>IF(AND($E60&lt;&gt;"",$E60&lt;=R$5+6,$F60&gt;=R$5),"■","")</x:f>
      </x:c>
      <x:c r="S60" s="370" t="str">
        <x:f>IF(AND($E60&lt;&gt;"",$E60&lt;=S$5+6,$F60&gt;=S$5),"■","")</x:f>
        <x:v>■</x:v>
      </x:c>
      <x:c r="T60" s="370" t="str">
        <x:f>IF(AND($E60&lt;&gt;"",$E60&lt;=T$5+6,$F60&gt;=T$5),"■","")</x:f>
      </x:c>
      <x:c r="U60" s="370" t="str">
        <x:f>IF(AND($E60&lt;&gt;"",$E60&lt;=U$5+6,$F60&gt;=U$5),"■","")</x:f>
      </x:c>
      <x:c r="V60" s="370" t="str">
        <x:f>IF(AND($E60&lt;&gt;"",$E60&lt;=V$5+6,$F60&gt;=V$5),"■","")</x:f>
      </x:c>
      <x:c r="W60" s="370" t="str">
        <x:f>IF(AND($E60&lt;&gt;"",$E60&lt;=W$5+6,$F60&gt;=W$5),"■","")</x:f>
      </x:c>
      <x:c r="X60" s="370" t="str">
        <x:f>IF(AND($E60&lt;&gt;"",$E60&lt;=X$5+6,$F60&gt;=X$5),"■","")</x:f>
      </x:c>
      <x:c r="Y60" s="370" t="str">
        <x:f>IF(AND($E60&lt;&gt;"",$E60&lt;=Y$5+6,$F60&gt;=Y$5),"■","")</x:f>
      </x:c>
      <x:c r="Z60" s="370" t="str">
        <x:f>IF(AND($E60&lt;&gt;"",$E60&lt;=Z$5+6,$F60&gt;=Z$5),"■","")</x:f>
      </x:c>
      <x:c r="AA60" s="370" t="str">
        <x:f>IF(AND($E60&lt;&gt;"",$E60&lt;=AA$5+6,$F60&gt;=AA$5),"■","")</x:f>
      </x:c>
      <x:c r="AB60" s="370" t="str">
        <x:f>IF(AND($E60&lt;&gt;"",$E60&lt;=AB$5+6,$F60&gt;=AB$5),"■","")</x:f>
      </x:c>
      <x:c r="AC60" s="370" t="str">
        <x:f>IF(AND($E60&lt;&gt;"",$E60&lt;=AC$5+6,$F60&gt;=AC$5),"■","")</x:f>
      </x:c>
      <x:c r="AD60" s="370" t="str">
        <x:f>IF(AND($E60&lt;&gt;"",$E60&lt;=AD$5+6,$F60&gt;=AD$5),"■","")</x:f>
      </x:c>
      <x:c r="AE60" s="370" t="str">
        <x:f>IF(AND($E60&lt;&gt;"",$E60&lt;=AE$5+6,$F60&gt;=AE$5),"■","")</x:f>
      </x:c>
      <x:c r="AF60" s="370" t="str">
        <x:f>IF(AND($E60&lt;&gt;"",$E60&lt;=AF$5+6,$F60&gt;=AF$5),"■","")</x:f>
      </x:c>
      <x:c r="AG60" s="370" t="str">
        <x:f>IF(AND($E60&lt;&gt;"",$E60&lt;=AG$5+6,$F60&gt;=AG$5),"■","")</x:f>
      </x:c>
      <x:c r="AH60" s="371" t="str">
        <x:f>IF(AND($E60&lt;&gt;"",$E60&lt;=AH$5+6,$F60&gt;=AH$5),"■","")</x:f>
      </x:c>
    </x:row>
    <x:row r="61" ht="38" customHeight="1">
      <x:c r="A61" s="466" t="str">
        <x:f>'作業計画'!A61</x:f>
        <x:v>00055</x:v>
      </x:c>
      <x:c r="B61" s="198" t="str">
        <x:f>'作業計画'!B61</x:f>
        <x:v>04.開発</x:v>
      </x:c>
      <x:c r="C61" s="56" t="str">
        <x:f>'作業計画'!C61</x:f>
        <x:v>SalesRepHospital：加工Notebook作成</x:v>
      </x:c>
      <x:c r="D61" s="56" t="str">
        <x:f>'作業計画'!D61</x:f>
        <x:v>開発担当（要確定）</x:v>
      </x:c>
      <x:c r="E61" s="346" t="n">
        <x:f>IF('作業計画'!O61="","",'作業計画'!O61)</x:f>
        <x:v>46384</x:v>
      </x:c>
      <x:c r="F61" s="346" t="n">
        <x:f>IF('作業計画'!P61="","",'作業計画'!P61)</x:f>
        <x:v>46388</x:v>
      </x:c>
      <x:c r="G61" s="354" t="n">
        <x:f>'作業計画'!U61</x:f>
        <x:v>0</x:v>
      </x:c>
      <x:c r="H61" s="56" t="str">
        <x:f>'作業計画'!V61</x:f>
        <x:v>予定前</x:v>
      </x:c>
      <x:c r="I61" s="372" t="str">
        <x:f>IF(AND($E61&lt;&gt;"",$E61&lt;=I$5+6,$F61&gt;=I$5),"■","")</x:f>
      </x:c>
      <x:c r="J61" s="372" t="str">
        <x:f>IF(AND($E61&lt;&gt;"",$E61&lt;=J$5+6,$F61&gt;=J$5),"■","")</x:f>
      </x:c>
      <x:c r="K61" s="372" t="str">
        <x:f>IF(AND($E61&lt;&gt;"",$E61&lt;=K$5+6,$F61&gt;=K$5),"■","")</x:f>
      </x:c>
      <x:c r="L61" s="372" t="str">
        <x:f>IF(AND($E61&lt;&gt;"",$E61&lt;=L$5+6,$F61&gt;=L$5),"■","")</x:f>
      </x:c>
      <x:c r="M61" s="372" t="str">
        <x:f>IF(AND($E61&lt;&gt;"",$E61&lt;=M$5+6,$F61&gt;=M$5),"■","")</x:f>
      </x:c>
      <x:c r="N61" s="372" t="str">
        <x:f>IF(AND($E61&lt;&gt;"",$E61&lt;=N$5+6,$F61&gt;=N$5),"■","")</x:f>
      </x:c>
      <x:c r="O61" s="372" t="str">
        <x:f>IF(AND($E61&lt;&gt;"",$E61&lt;=O$5+6,$F61&gt;=O$5),"■","")</x:f>
      </x:c>
      <x:c r="P61" s="372" t="str">
        <x:f>IF(AND($E61&lt;&gt;"",$E61&lt;=P$5+6,$F61&gt;=P$5),"■","")</x:f>
      </x:c>
      <x:c r="Q61" s="372" t="str">
        <x:f>IF(AND($E61&lt;&gt;"",$E61&lt;=Q$5+6,$F61&gt;=Q$5),"■","")</x:f>
      </x:c>
      <x:c r="R61" s="372" t="str">
        <x:f>IF(AND($E61&lt;&gt;"",$E61&lt;=R$5+6,$F61&gt;=R$5),"■","")</x:f>
      </x:c>
      <x:c r="S61" s="372" t="str">
        <x:f>IF(AND($E61&lt;&gt;"",$E61&lt;=S$5+6,$F61&gt;=S$5),"■","")</x:f>
        <x:v>■</x:v>
      </x:c>
      <x:c r="T61" s="372" t="str">
        <x:f>IF(AND($E61&lt;&gt;"",$E61&lt;=T$5+6,$F61&gt;=T$5),"■","")</x:f>
      </x:c>
      <x:c r="U61" s="372" t="str">
        <x:f>IF(AND($E61&lt;&gt;"",$E61&lt;=U$5+6,$F61&gt;=U$5),"■","")</x:f>
      </x:c>
      <x:c r="V61" s="372" t="str">
        <x:f>IF(AND($E61&lt;&gt;"",$E61&lt;=V$5+6,$F61&gt;=V$5),"■","")</x:f>
      </x:c>
      <x:c r="W61" s="372" t="str">
        <x:f>IF(AND($E61&lt;&gt;"",$E61&lt;=W$5+6,$F61&gt;=W$5),"■","")</x:f>
      </x:c>
      <x:c r="X61" s="372" t="str">
        <x:f>IF(AND($E61&lt;&gt;"",$E61&lt;=X$5+6,$F61&gt;=X$5),"■","")</x:f>
      </x:c>
      <x:c r="Y61" s="372" t="str">
        <x:f>IF(AND($E61&lt;&gt;"",$E61&lt;=Y$5+6,$F61&gt;=Y$5),"■","")</x:f>
      </x:c>
      <x:c r="Z61" s="372" t="str">
        <x:f>IF(AND($E61&lt;&gt;"",$E61&lt;=Z$5+6,$F61&gt;=Z$5),"■","")</x:f>
      </x:c>
      <x:c r="AA61" s="372" t="str">
        <x:f>IF(AND($E61&lt;&gt;"",$E61&lt;=AA$5+6,$F61&gt;=AA$5),"■","")</x:f>
      </x:c>
      <x:c r="AB61" s="372" t="str">
        <x:f>IF(AND($E61&lt;&gt;"",$E61&lt;=AB$5+6,$F61&gt;=AB$5),"■","")</x:f>
      </x:c>
      <x:c r="AC61" s="372" t="str">
        <x:f>IF(AND($E61&lt;&gt;"",$E61&lt;=AC$5+6,$F61&gt;=AC$5),"■","")</x:f>
      </x:c>
      <x:c r="AD61" s="372" t="str">
        <x:f>IF(AND($E61&lt;&gt;"",$E61&lt;=AD$5+6,$F61&gt;=AD$5),"■","")</x:f>
      </x:c>
      <x:c r="AE61" s="372" t="str">
        <x:f>IF(AND($E61&lt;&gt;"",$E61&lt;=AE$5+6,$F61&gt;=AE$5),"■","")</x:f>
      </x:c>
      <x:c r="AF61" s="372" t="str">
        <x:f>IF(AND($E61&lt;&gt;"",$E61&lt;=AF$5+6,$F61&gt;=AF$5),"■","")</x:f>
      </x:c>
      <x:c r="AG61" s="372" t="str">
        <x:f>IF(AND($E61&lt;&gt;"",$E61&lt;=AG$5+6,$F61&gt;=AG$5),"■","")</x:f>
      </x:c>
      <x:c r="AH61" s="373" t="str">
        <x:f>IF(AND($E61&lt;&gt;"",$E61&lt;=AH$5+6,$F61&gt;=AH$5),"■","")</x:f>
      </x:c>
    </x:row>
    <x:row r="62" ht="38" customHeight="1">
      <x:c r="A62" s="465" t="str">
        <x:f>'作業計画'!A62</x:f>
        <x:v>00056</x:v>
      </x:c>
      <x:c r="B62" s="198" t="str">
        <x:f>'作業計画'!B62</x:f>
        <x:v>04.開発</x:v>
      </x:c>
      <x:c r="C62" s="48" t="str">
        <x:f>'作業計画'!C62</x:f>
        <x:v>Product：GoldPipeline作成</x:v>
      </x:c>
      <x:c r="D62" s="48" t="str">
        <x:f>'作業計画'!D62</x:f>
        <x:v>開発担当（要確定）</x:v>
      </x:c>
      <x:c r="E62" s="345" t="n">
        <x:f>IF('作業計画'!O62="","",'作業計画'!O62)</x:f>
        <x:v>46391</x:v>
      </x:c>
      <x:c r="F62" s="345" t="n">
        <x:f>IF('作業計画'!P62="","",'作業計画'!P62)</x:f>
        <x:v>46392</x:v>
      </x:c>
      <x:c r="G62" s="353" t="n">
        <x:f>'作業計画'!U62</x:f>
        <x:v>0</x:v>
      </x:c>
      <x:c r="H62" s="48" t="str">
        <x:f>'作業計画'!V62</x:f>
        <x:v>予定前</x:v>
      </x:c>
      <x:c r="I62" s="370" t="str">
        <x:f>IF(AND($E62&lt;&gt;"",$E62&lt;=I$5+6,$F62&gt;=I$5),"■","")</x:f>
      </x:c>
      <x:c r="J62" s="370" t="str">
        <x:f>IF(AND($E62&lt;&gt;"",$E62&lt;=J$5+6,$F62&gt;=J$5),"■","")</x:f>
      </x:c>
      <x:c r="K62" s="370" t="str">
        <x:f>IF(AND($E62&lt;&gt;"",$E62&lt;=K$5+6,$F62&gt;=K$5),"■","")</x:f>
      </x:c>
      <x:c r="L62" s="370" t="str">
        <x:f>IF(AND($E62&lt;&gt;"",$E62&lt;=L$5+6,$F62&gt;=L$5),"■","")</x:f>
      </x:c>
      <x:c r="M62" s="370" t="str">
        <x:f>IF(AND($E62&lt;&gt;"",$E62&lt;=M$5+6,$F62&gt;=M$5),"■","")</x:f>
      </x:c>
      <x:c r="N62" s="370" t="str">
        <x:f>IF(AND($E62&lt;&gt;"",$E62&lt;=N$5+6,$F62&gt;=N$5),"■","")</x:f>
      </x:c>
      <x:c r="O62" s="370" t="str">
        <x:f>IF(AND($E62&lt;&gt;"",$E62&lt;=O$5+6,$F62&gt;=O$5),"■","")</x:f>
      </x:c>
      <x:c r="P62" s="370" t="str">
        <x:f>IF(AND($E62&lt;&gt;"",$E62&lt;=P$5+6,$F62&gt;=P$5),"■","")</x:f>
      </x:c>
      <x:c r="Q62" s="370" t="str">
        <x:f>IF(AND($E62&lt;&gt;"",$E62&lt;=Q$5+6,$F62&gt;=Q$5),"■","")</x:f>
      </x:c>
      <x:c r="R62" s="370" t="str">
        <x:f>IF(AND($E62&lt;&gt;"",$E62&lt;=R$5+6,$F62&gt;=R$5),"■","")</x:f>
      </x:c>
      <x:c r="S62" s="370" t="str">
        <x:f>IF(AND($E62&lt;&gt;"",$E62&lt;=S$5+6,$F62&gt;=S$5),"■","")</x:f>
      </x:c>
      <x:c r="T62" s="370" t="str">
        <x:f>IF(AND($E62&lt;&gt;"",$E62&lt;=T$5+6,$F62&gt;=T$5),"■","")</x:f>
        <x:v>■</x:v>
      </x:c>
      <x:c r="U62" s="370" t="str">
        <x:f>IF(AND($E62&lt;&gt;"",$E62&lt;=U$5+6,$F62&gt;=U$5),"■","")</x:f>
      </x:c>
      <x:c r="V62" s="370" t="str">
        <x:f>IF(AND($E62&lt;&gt;"",$E62&lt;=V$5+6,$F62&gt;=V$5),"■","")</x:f>
      </x:c>
      <x:c r="W62" s="370" t="str">
        <x:f>IF(AND($E62&lt;&gt;"",$E62&lt;=W$5+6,$F62&gt;=W$5),"■","")</x:f>
      </x:c>
      <x:c r="X62" s="370" t="str">
        <x:f>IF(AND($E62&lt;&gt;"",$E62&lt;=X$5+6,$F62&gt;=X$5),"■","")</x:f>
      </x:c>
      <x:c r="Y62" s="370" t="str">
        <x:f>IF(AND($E62&lt;&gt;"",$E62&lt;=Y$5+6,$F62&gt;=Y$5),"■","")</x:f>
      </x:c>
      <x:c r="Z62" s="370" t="str">
        <x:f>IF(AND($E62&lt;&gt;"",$E62&lt;=Z$5+6,$F62&gt;=Z$5),"■","")</x:f>
      </x:c>
      <x:c r="AA62" s="370" t="str">
        <x:f>IF(AND($E62&lt;&gt;"",$E62&lt;=AA$5+6,$F62&gt;=AA$5),"■","")</x:f>
      </x:c>
      <x:c r="AB62" s="370" t="str">
        <x:f>IF(AND($E62&lt;&gt;"",$E62&lt;=AB$5+6,$F62&gt;=AB$5),"■","")</x:f>
      </x:c>
      <x:c r="AC62" s="370" t="str">
        <x:f>IF(AND($E62&lt;&gt;"",$E62&lt;=AC$5+6,$F62&gt;=AC$5),"■","")</x:f>
      </x:c>
      <x:c r="AD62" s="370" t="str">
        <x:f>IF(AND($E62&lt;&gt;"",$E62&lt;=AD$5+6,$F62&gt;=AD$5),"■","")</x:f>
      </x:c>
      <x:c r="AE62" s="370" t="str">
        <x:f>IF(AND($E62&lt;&gt;"",$E62&lt;=AE$5+6,$F62&gt;=AE$5),"■","")</x:f>
      </x:c>
      <x:c r="AF62" s="370" t="str">
        <x:f>IF(AND($E62&lt;&gt;"",$E62&lt;=AF$5+6,$F62&gt;=AF$5),"■","")</x:f>
      </x:c>
      <x:c r="AG62" s="370" t="str">
        <x:f>IF(AND($E62&lt;&gt;"",$E62&lt;=AG$5+6,$F62&gt;=AG$5),"■","")</x:f>
      </x:c>
      <x:c r="AH62" s="371" t="str">
        <x:f>IF(AND($E62&lt;&gt;"",$E62&lt;=AH$5+6,$F62&gt;=AH$5),"■","")</x:f>
      </x:c>
    </x:row>
    <x:row r="63" ht="38" customHeight="1">
      <x:c r="A63" s="466" t="str">
        <x:f>'作業計画'!A63</x:f>
        <x:v>00057</x:v>
      </x:c>
      <x:c r="B63" s="198" t="str">
        <x:f>'作業計画'!B63</x:f>
        <x:v>04.開発</x:v>
      </x:c>
      <x:c r="C63" s="56" t="str">
        <x:f>'作業計画'!C63</x:f>
        <x:v>Contact：GoldPipeline作成</x:v>
      </x:c>
      <x:c r="D63" s="56" t="str">
        <x:f>'作業計画'!D63</x:f>
        <x:v>開発担当（要確定）</x:v>
      </x:c>
      <x:c r="E63" s="346" t="n">
        <x:f>IF('作業計画'!O63="","",'作業計画'!O63)</x:f>
        <x:v>46393</x:v>
      </x:c>
      <x:c r="F63" s="346" t="n">
        <x:f>IF('作業計画'!P63="","",'作業計画'!P63)</x:f>
        <x:v>46394</x:v>
      </x:c>
      <x:c r="G63" s="354" t="n">
        <x:f>'作業計画'!U63</x:f>
        <x:v>0</x:v>
      </x:c>
      <x:c r="H63" s="56" t="str">
        <x:f>'作業計画'!V63</x:f>
        <x:v>予定前</x:v>
      </x:c>
      <x:c r="I63" s="372" t="str">
        <x:f>IF(AND($E63&lt;&gt;"",$E63&lt;=I$5+6,$F63&gt;=I$5),"■","")</x:f>
      </x:c>
      <x:c r="J63" s="372" t="str">
        <x:f>IF(AND($E63&lt;&gt;"",$E63&lt;=J$5+6,$F63&gt;=J$5),"■","")</x:f>
      </x:c>
      <x:c r="K63" s="372" t="str">
        <x:f>IF(AND($E63&lt;&gt;"",$E63&lt;=K$5+6,$F63&gt;=K$5),"■","")</x:f>
      </x:c>
      <x:c r="L63" s="372" t="str">
        <x:f>IF(AND($E63&lt;&gt;"",$E63&lt;=L$5+6,$F63&gt;=L$5),"■","")</x:f>
      </x:c>
      <x:c r="M63" s="372" t="str">
        <x:f>IF(AND($E63&lt;&gt;"",$E63&lt;=M$5+6,$F63&gt;=M$5),"■","")</x:f>
      </x:c>
      <x:c r="N63" s="372" t="str">
        <x:f>IF(AND($E63&lt;&gt;"",$E63&lt;=N$5+6,$F63&gt;=N$5),"■","")</x:f>
      </x:c>
      <x:c r="O63" s="372" t="str">
        <x:f>IF(AND($E63&lt;&gt;"",$E63&lt;=O$5+6,$F63&gt;=O$5),"■","")</x:f>
      </x:c>
      <x:c r="P63" s="372" t="str">
        <x:f>IF(AND($E63&lt;&gt;"",$E63&lt;=P$5+6,$F63&gt;=P$5),"■","")</x:f>
      </x:c>
      <x:c r="Q63" s="372" t="str">
        <x:f>IF(AND($E63&lt;&gt;"",$E63&lt;=Q$5+6,$F63&gt;=Q$5),"■","")</x:f>
      </x:c>
      <x:c r="R63" s="372" t="str">
        <x:f>IF(AND($E63&lt;&gt;"",$E63&lt;=R$5+6,$F63&gt;=R$5),"■","")</x:f>
      </x:c>
      <x:c r="S63" s="372" t="str">
        <x:f>IF(AND($E63&lt;&gt;"",$E63&lt;=S$5+6,$F63&gt;=S$5),"■","")</x:f>
      </x:c>
      <x:c r="T63" s="372" t="str">
        <x:f>IF(AND($E63&lt;&gt;"",$E63&lt;=T$5+6,$F63&gt;=T$5),"■","")</x:f>
        <x:v>■</x:v>
      </x:c>
      <x:c r="U63" s="372" t="str">
        <x:f>IF(AND($E63&lt;&gt;"",$E63&lt;=U$5+6,$F63&gt;=U$5),"■","")</x:f>
      </x:c>
      <x:c r="V63" s="372" t="str">
        <x:f>IF(AND($E63&lt;&gt;"",$E63&lt;=V$5+6,$F63&gt;=V$5),"■","")</x:f>
      </x:c>
      <x:c r="W63" s="372" t="str">
        <x:f>IF(AND($E63&lt;&gt;"",$E63&lt;=W$5+6,$F63&gt;=W$5),"■","")</x:f>
      </x:c>
      <x:c r="X63" s="372" t="str">
        <x:f>IF(AND($E63&lt;&gt;"",$E63&lt;=X$5+6,$F63&gt;=X$5),"■","")</x:f>
      </x:c>
      <x:c r="Y63" s="372" t="str">
        <x:f>IF(AND($E63&lt;&gt;"",$E63&lt;=Y$5+6,$F63&gt;=Y$5),"■","")</x:f>
      </x:c>
      <x:c r="Z63" s="372" t="str">
        <x:f>IF(AND($E63&lt;&gt;"",$E63&lt;=Z$5+6,$F63&gt;=Z$5),"■","")</x:f>
      </x:c>
      <x:c r="AA63" s="372" t="str">
        <x:f>IF(AND($E63&lt;&gt;"",$E63&lt;=AA$5+6,$F63&gt;=AA$5),"■","")</x:f>
      </x:c>
      <x:c r="AB63" s="372" t="str">
        <x:f>IF(AND($E63&lt;&gt;"",$E63&lt;=AB$5+6,$F63&gt;=AB$5),"■","")</x:f>
      </x:c>
      <x:c r="AC63" s="372" t="str">
        <x:f>IF(AND($E63&lt;&gt;"",$E63&lt;=AC$5+6,$F63&gt;=AC$5),"■","")</x:f>
      </x:c>
      <x:c r="AD63" s="372" t="str">
        <x:f>IF(AND($E63&lt;&gt;"",$E63&lt;=AD$5+6,$F63&gt;=AD$5),"■","")</x:f>
      </x:c>
      <x:c r="AE63" s="372" t="str">
        <x:f>IF(AND($E63&lt;&gt;"",$E63&lt;=AE$5+6,$F63&gt;=AE$5),"■","")</x:f>
      </x:c>
      <x:c r="AF63" s="372" t="str">
        <x:f>IF(AND($E63&lt;&gt;"",$E63&lt;=AF$5+6,$F63&gt;=AF$5),"■","")</x:f>
      </x:c>
      <x:c r="AG63" s="372" t="str">
        <x:f>IF(AND($E63&lt;&gt;"",$E63&lt;=AG$5+6,$F63&gt;=AG$5),"■","")</x:f>
      </x:c>
      <x:c r="AH63" s="373" t="str">
        <x:f>IF(AND($E63&lt;&gt;"",$E63&lt;=AH$5+6,$F63&gt;=AH$5),"■","")</x:f>
      </x:c>
    </x:row>
    <x:row r="64" ht="38" customHeight="1">
      <x:c r="A64" s="465" t="str">
        <x:f>'作業計画'!A64</x:f>
        <x:v>00058</x:v>
      </x:c>
      <x:c r="B64" s="198" t="str">
        <x:f>'作業計画'!B64</x:f>
        <x:v>04.開発</x:v>
      </x:c>
      <x:c r="C64" s="48" t="str">
        <x:f>'作業計画'!C64</x:f>
        <x:v>Account：GoldPipeline作成</x:v>
      </x:c>
      <x:c r="D64" s="48" t="str">
        <x:f>'作業計画'!D64</x:f>
        <x:v>開発担当（要確定）</x:v>
      </x:c>
      <x:c r="E64" s="345" t="n">
        <x:f>IF('作業計画'!O64="","",'作業計画'!O64)</x:f>
        <x:v>46395</x:v>
      </x:c>
      <x:c r="F64" s="345" t="n">
        <x:f>IF('作業計画'!P64="","",'作業計画'!P64)</x:f>
        <x:v>46398</x:v>
      </x:c>
      <x:c r="G64" s="353" t="n">
        <x:f>'作業計画'!U64</x:f>
        <x:v>0</x:v>
      </x:c>
      <x:c r="H64" s="48" t="str">
        <x:f>'作業計画'!V64</x:f>
        <x:v>予定前</x:v>
      </x:c>
      <x:c r="I64" s="370" t="str">
        <x:f>IF(AND($E64&lt;&gt;"",$E64&lt;=I$5+6,$F64&gt;=I$5),"■","")</x:f>
      </x:c>
      <x:c r="J64" s="370" t="str">
        <x:f>IF(AND($E64&lt;&gt;"",$E64&lt;=J$5+6,$F64&gt;=J$5),"■","")</x:f>
      </x:c>
      <x:c r="K64" s="370" t="str">
        <x:f>IF(AND($E64&lt;&gt;"",$E64&lt;=K$5+6,$F64&gt;=K$5),"■","")</x:f>
      </x:c>
      <x:c r="L64" s="370" t="str">
        <x:f>IF(AND($E64&lt;&gt;"",$E64&lt;=L$5+6,$F64&gt;=L$5),"■","")</x:f>
      </x:c>
      <x:c r="M64" s="370" t="str">
        <x:f>IF(AND($E64&lt;&gt;"",$E64&lt;=M$5+6,$F64&gt;=M$5),"■","")</x:f>
      </x:c>
      <x:c r="N64" s="370" t="str">
        <x:f>IF(AND($E64&lt;&gt;"",$E64&lt;=N$5+6,$F64&gt;=N$5),"■","")</x:f>
      </x:c>
      <x:c r="O64" s="370" t="str">
        <x:f>IF(AND($E64&lt;&gt;"",$E64&lt;=O$5+6,$F64&gt;=O$5),"■","")</x:f>
      </x:c>
      <x:c r="P64" s="370" t="str">
        <x:f>IF(AND($E64&lt;&gt;"",$E64&lt;=P$5+6,$F64&gt;=P$5),"■","")</x:f>
      </x:c>
      <x:c r="Q64" s="370" t="str">
        <x:f>IF(AND($E64&lt;&gt;"",$E64&lt;=Q$5+6,$F64&gt;=Q$5),"■","")</x:f>
      </x:c>
      <x:c r="R64" s="370" t="str">
        <x:f>IF(AND($E64&lt;&gt;"",$E64&lt;=R$5+6,$F64&gt;=R$5),"■","")</x:f>
      </x:c>
      <x:c r="S64" s="370" t="str">
        <x:f>IF(AND($E64&lt;&gt;"",$E64&lt;=S$5+6,$F64&gt;=S$5),"■","")</x:f>
      </x:c>
      <x:c r="T64" s="370" t="str">
        <x:f>IF(AND($E64&lt;&gt;"",$E64&lt;=T$5+6,$F64&gt;=T$5),"■","")</x:f>
        <x:v>■</x:v>
      </x:c>
      <x:c r="U64" s="370" t="str">
        <x:f>IF(AND($E64&lt;&gt;"",$E64&lt;=U$5+6,$F64&gt;=U$5),"■","")</x:f>
        <x:v>■</x:v>
      </x:c>
      <x:c r="V64" s="370" t="str">
        <x:f>IF(AND($E64&lt;&gt;"",$E64&lt;=V$5+6,$F64&gt;=V$5),"■","")</x:f>
      </x:c>
      <x:c r="W64" s="370" t="str">
        <x:f>IF(AND($E64&lt;&gt;"",$E64&lt;=W$5+6,$F64&gt;=W$5),"■","")</x:f>
      </x:c>
      <x:c r="X64" s="370" t="str">
        <x:f>IF(AND($E64&lt;&gt;"",$E64&lt;=X$5+6,$F64&gt;=X$5),"■","")</x:f>
      </x:c>
      <x:c r="Y64" s="370" t="str">
        <x:f>IF(AND($E64&lt;&gt;"",$E64&lt;=Y$5+6,$F64&gt;=Y$5),"■","")</x:f>
      </x:c>
      <x:c r="Z64" s="370" t="str">
        <x:f>IF(AND($E64&lt;&gt;"",$E64&lt;=Z$5+6,$F64&gt;=Z$5),"■","")</x:f>
      </x:c>
      <x:c r="AA64" s="370" t="str">
        <x:f>IF(AND($E64&lt;&gt;"",$E64&lt;=AA$5+6,$F64&gt;=AA$5),"■","")</x:f>
      </x:c>
      <x:c r="AB64" s="370" t="str">
        <x:f>IF(AND($E64&lt;&gt;"",$E64&lt;=AB$5+6,$F64&gt;=AB$5),"■","")</x:f>
      </x:c>
      <x:c r="AC64" s="370" t="str">
        <x:f>IF(AND($E64&lt;&gt;"",$E64&lt;=AC$5+6,$F64&gt;=AC$5),"■","")</x:f>
      </x:c>
      <x:c r="AD64" s="370" t="str">
        <x:f>IF(AND($E64&lt;&gt;"",$E64&lt;=AD$5+6,$F64&gt;=AD$5),"■","")</x:f>
      </x:c>
      <x:c r="AE64" s="370" t="str">
        <x:f>IF(AND($E64&lt;&gt;"",$E64&lt;=AE$5+6,$F64&gt;=AE$5),"■","")</x:f>
      </x:c>
      <x:c r="AF64" s="370" t="str">
        <x:f>IF(AND($E64&lt;&gt;"",$E64&lt;=AF$5+6,$F64&gt;=AF$5),"■","")</x:f>
      </x:c>
      <x:c r="AG64" s="370" t="str">
        <x:f>IF(AND($E64&lt;&gt;"",$E64&lt;=AG$5+6,$F64&gt;=AG$5),"■","")</x:f>
      </x:c>
      <x:c r="AH64" s="371" t="str">
        <x:f>IF(AND($E64&lt;&gt;"",$E64&lt;=AH$5+6,$F64&gt;=AH$5),"■","")</x:f>
      </x:c>
    </x:row>
    <x:row r="65" ht="38" customHeight="1">
      <x:c r="A65" s="466" t="str">
        <x:f>'作業計画'!A65</x:f>
        <x:v>00059</x:v>
      </x:c>
      <x:c r="B65" s="198" t="str">
        <x:f>'作業計画'!B65</x:f>
        <x:v>04.開発</x:v>
      </x:c>
      <x:c r="C65" s="56" t="str">
        <x:f>'作業計画'!C65</x:f>
        <x:v>AccountContact：GoldPipeline作成</x:v>
      </x:c>
      <x:c r="D65" s="56" t="str">
        <x:f>'作業計画'!D65</x:f>
        <x:v>開発担当（要確定）</x:v>
      </x:c>
      <x:c r="E65" s="346" t="n">
        <x:f>IF('作業計画'!O65="","",'作業計画'!O65)</x:f>
        <x:v>46399</x:v>
      </x:c>
      <x:c r="F65" s="346" t="n">
        <x:f>IF('作業計画'!P65="","",'作業計画'!P65)</x:f>
        <x:v>46400</x:v>
      </x:c>
      <x:c r="G65" s="354" t="n">
        <x:f>'作業計画'!U65</x:f>
        <x:v>0</x:v>
      </x:c>
      <x:c r="H65" s="56" t="str">
        <x:f>'作業計画'!V65</x:f>
        <x:v>予定前</x:v>
      </x:c>
      <x:c r="I65" s="372" t="str">
        <x:f>IF(AND($E65&lt;&gt;"",$E65&lt;=I$5+6,$F65&gt;=I$5),"■","")</x:f>
      </x:c>
      <x:c r="J65" s="372" t="str">
        <x:f>IF(AND($E65&lt;&gt;"",$E65&lt;=J$5+6,$F65&gt;=J$5),"■","")</x:f>
      </x:c>
      <x:c r="K65" s="372" t="str">
        <x:f>IF(AND($E65&lt;&gt;"",$E65&lt;=K$5+6,$F65&gt;=K$5),"■","")</x:f>
      </x:c>
      <x:c r="L65" s="372" t="str">
        <x:f>IF(AND($E65&lt;&gt;"",$E65&lt;=L$5+6,$F65&gt;=L$5),"■","")</x:f>
      </x:c>
      <x:c r="M65" s="372" t="str">
        <x:f>IF(AND($E65&lt;&gt;"",$E65&lt;=M$5+6,$F65&gt;=M$5),"■","")</x:f>
      </x:c>
      <x:c r="N65" s="372" t="str">
        <x:f>IF(AND($E65&lt;&gt;"",$E65&lt;=N$5+6,$F65&gt;=N$5),"■","")</x:f>
      </x:c>
      <x:c r="O65" s="372" t="str">
        <x:f>IF(AND($E65&lt;&gt;"",$E65&lt;=O$5+6,$F65&gt;=O$5),"■","")</x:f>
      </x:c>
      <x:c r="P65" s="372" t="str">
        <x:f>IF(AND($E65&lt;&gt;"",$E65&lt;=P$5+6,$F65&gt;=P$5),"■","")</x:f>
      </x:c>
      <x:c r="Q65" s="372" t="str">
        <x:f>IF(AND($E65&lt;&gt;"",$E65&lt;=Q$5+6,$F65&gt;=Q$5),"■","")</x:f>
      </x:c>
      <x:c r="R65" s="372" t="str">
        <x:f>IF(AND($E65&lt;&gt;"",$E65&lt;=R$5+6,$F65&gt;=R$5),"■","")</x:f>
      </x:c>
      <x:c r="S65" s="372" t="str">
        <x:f>IF(AND($E65&lt;&gt;"",$E65&lt;=S$5+6,$F65&gt;=S$5),"■","")</x:f>
      </x:c>
      <x:c r="T65" s="372" t="str">
        <x:f>IF(AND($E65&lt;&gt;"",$E65&lt;=T$5+6,$F65&gt;=T$5),"■","")</x:f>
      </x:c>
      <x:c r="U65" s="372" t="str">
        <x:f>IF(AND($E65&lt;&gt;"",$E65&lt;=U$5+6,$F65&gt;=U$5),"■","")</x:f>
        <x:v>■</x:v>
      </x:c>
      <x:c r="V65" s="372" t="str">
        <x:f>IF(AND($E65&lt;&gt;"",$E65&lt;=V$5+6,$F65&gt;=V$5),"■","")</x:f>
      </x:c>
      <x:c r="W65" s="372" t="str">
        <x:f>IF(AND($E65&lt;&gt;"",$E65&lt;=W$5+6,$F65&gt;=W$5),"■","")</x:f>
      </x:c>
      <x:c r="X65" s="372" t="str">
        <x:f>IF(AND($E65&lt;&gt;"",$E65&lt;=X$5+6,$F65&gt;=X$5),"■","")</x:f>
      </x:c>
      <x:c r="Y65" s="372" t="str">
        <x:f>IF(AND($E65&lt;&gt;"",$E65&lt;=Y$5+6,$F65&gt;=Y$5),"■","")</x:f>
      </x:c>
      <x:c r="Z65" s="372" t="str">
        <x:f>IF(AND($E65&lt;&gt;"",$E65&lt;=Z$5+6,$F65&gt;=Z$5),"■","")</x:f>
      </x:c>
      <x:c r="AA65" s="372" t="str">
        <x:f>IF(AND($E65&lt;&gt;"",$E65&lt;=AA$5+6,$F65&gt;=AA$5),"■","")</x:f>
      </x:c>
      <x:c r="AB65" s="372" t="str">
        <x:f>IF(AND($E65&lt;&gt;"",$E65&lt;=AB$5+6,$F65&gt;=AB$5),"■","")</x:f>
      </x:c>
      <x:c r="AC65" s="372" t="str">
        <x:f>IF(AND($E65&lt;&gt;"",$E65&lt;=AC$5+6,$F65&gt;=AC$5),"■","")</x:f>
      </x:c>
      <x:c r="AD65" s="372" t="str">
        <x:f>IF(AND($E65&lt;&gt;"",$E65&lt;=AD$5+6,$F65&gt;=AD$5),"■","")</x:f>
      </x:c>
      <x:c r="AE65" s="372" t="str">
        <x:f>IF(AND($E65&lt;&gt;"",$E65&lt;=AE$5+6,$F65&gt;=AE$5),"■","")</x:f>
      </x:c>
      <x:c r="AF65" s="372" t="str">
        <x:f>IF(AND($E65&lt;&gt;"",$E65&lt;=AF$5+6,$F65&gt;=AF$5),"■","")</x:f>
      </x:c>
      <x:c r="AG65" s="372" t="str">
        <x:f>IF(AND($E65&lt;&gt;"",$E65&lt;=AG$5+6,$F65&gt;=AG$5),"■","")</x:f>
      </x:c>
      <x:c r="AH65" s="373" t="str">
        <x:f>IF(AND($E65&lt;&gt;"",$E65&lt;=AH$5+6,$F65&gt;=AH$5),"■","")</x:f>
      </x:c>
    </x:row>
    <x:row r="66" ht="38" customHeight="1">
      <x:c r="A66" s="465" t="str">
        <x:f>'作業計画'!A66</x:f>
        <x:v>00060</x:v>
      </x:c>
      <x:c r="B66" s="198" t="str">
        <x:f>'作業計画'!B66</x:f>
        <x:v>04.開発</x:v>
      </x:c>
      <x:c r="C66" s="48" t="str">
        <x:f>'作業計画'!C66</x:f>
        <x:v>SalesRepHospital：GoldPipeline作成</x:v>
      </x:c>
      <x:c r="D66" s="48" t="str">
        <x:f>'作業計画'!D66</x:f>
        <x:v>開発担当（要確定）</x:v>
      </x:c>
      <x:c r="E66" s="345" t="n">
        <x:f>IF('作業計画'!O66="","",'作業計画'!O66)</x:f>
        <x:v>46401</x:v>
      </x:c>
      <x:c r="F66" s="345" t="n">
        <x:f>IF('作業計画'!P66="","",'作業計画'!P66)</x:f>
        <x:v>46402</x:v>
      </x:c>
      <x:c r="G66" s="353" t="n">
        <x:f>'作業計画'!U66</x:f>
        <x:v>0</x:v>
      </x:c>
      <x:c r="H66" s="48" t="str">
        <x:f>'作業計画'!V66</x:f>
        <x:v>予定前</x:v>
      </x:c>
      <x:c r="I66" s="370" t="str">
        <x:f>IF(AND($E66&lt;&gt;"",$E66&lt;=I$5+6,$F66&gt;=I$5),"■","")</x:f>
      </x:c>
      <x:c r="J66" s="370" t="str">
        <x:f>IF(AND($E66&lt;&gt;"",$E66&lt;=J$5+6,$F66&gt;=J$5),"■","")</x:f>
      </x:c>
      <x:c r="K66" s="370" t="str">
        <x:f>IF(AND($E66&lt;&gt;"",$E66&lt;=K$5+6,$F66&gt;=K$5),"■","")</x:f>
      </x:c>
      <x:c r="L66" s="370" t="str">
        <x:f>IF(AND($E66&lt;&gt;"",$E66&lt;=L$5+6,$F66&gt;=L$5),"■","")</x:f>
      </x:c>
      <x:c r="M66" s="370" t="str">
        <x:f>IF(AND($E66&lt;&gt;"",$E66&lt;=M$5+6,$F66&gt;=M$5),"■","")</x:f>
      </x:c>
      <x:c r="N66" s="370" t="str">
        <x:f>IF(AND($E66&lt;&gt;"",$E66&lt;=N$5+6,$F66&gt;=N$5),"■","")</x:f>
      </x:c>
      <x:c r="O66" s="370" t="str">
        <x:f>IF(AND($E66&lt;&gt;"",$E66&lt;=O$5+6,$F66&gt;=O$5),"■","")</x:f>
      </x:c>
      <x:c r="P66" s="370" t="str">
        <x:f>IF(AND($E66&lt;&gt;"",$E66&lt;=P$5+6,$F66&gt;=P$5),"■","")</x:f>
      </x:c>
      <x:c r="Q66" s="370" t="str">
        <x:f>IF(AND($E66&lt;&gt;"",$E66&lt;=Q$5+6,$F66&gt;=Q$5),"■","")</x:f>
      </x:c>
      <x:c r="R66" s="370" t="str">
        <x:f>IF(AND($E66&lt;&gt;"",$E66&lt;=R$5+6,$F66&gt;=R$5),"■","")</x:f>
      </x:c>
      <x:c r="S66" s="370" t="str">
        <x:f>IF(AND($E66&lt;&gt;"",$E66&lt;=S$5+6,$F66&gt;=S$5),"■","")</x:f>
      </x:c>
      <x:c r="T66" s="370" t="str">
        <x:f>IF(AND($E66&lt;&gt;"",$E66&lt;=T$5+6,$F66&gt;=T$5),"■","")</x:f>
      </x:c>
      <x:c r="U66" s="370" t="str">
        <x:f>IF(AND($E66&lt;&gt;"",$E66&lt;=U$5+6,$F66&gt;=U$5),"■","")</x:f>
        <x:v>■</x:v>
      </x:c>
      <x:c r="V66" s="370" t="str">
        <x:f>IF(AND($E66&lt;&gt;"",$E66&lt;=V$5+6,$F66&gt;=V$5),"■","")</x:f>
      </x:c>
      <x:c r="W66" s="370" t="str">
        <x:f>IF(AND($E66&lt;&gt;"",$E66&lt;=W$5+6,$F66&gt;=W$5),"■","")</x:f>
      </x:c>
      <x:c r="X66" s="370" t="str">
        <x:f>IF(AND($E66&lt;&gt;"",$E66&lt;=X$5+6,$F66&gt;=X$5),"■","")</x:f>
      </x:c>
      <x:c r="Y66" s="370" t="str">
        <x:f>IF(AND($E66&lt;&gt;"",$E66&lt;=Y$5+6,$F66&gt;=Y$5),"■","")</x:f>
      </x:c>
      <x:c r="Z66" s="370" t="str">
        <x:f>IF(AND($E66&lt;&gt;"",$E66&lt;=Z$5+6,$F66&gt;=Z$5),"■","")</x:f>
      </x:c>
      <x:c r="AA66" s="370" t="str">
        <x:f>IF(AND($E66&lt;&gt;"",$E66&lt;=AA$5+6,$F66&gt;=AA$5),"■","")</x:f>
      </x:c>
      <x:c r="AB66" s="370" t="str">
        <x:f>IF(AND($E66&lt;&gt;"",$E66&lt;=AB$5+6,$F66&gt;=AB$5),"■","")</x:f>
      </x:c>
      <x:c r="AC66" s="370" t="str">
        <x:f>IF(AND($E66&lt;&gt;"",$E66&lt;=AC$5+6,$F66&gt;=AC$5),"■","")</x:f>
      </x:c>
      <x:c r="AD66" s="370" t="str">
        <x:f>IF(AND($E66&lt;&gt;"",$E66&lt;=AD$5+6,$F66&gt;=AD$5),"■","")</x:f>
      </x:c>
      <x:c r="AE66" s="370" t="str">
        <x:f>IF(AND($E66&lt;&gt;"",$E66&lt;=AE$5+6,$F66&gt;=AE$5),"■","")</x:f>
      </x:c>
      <x:c r="AF66" s="370" t="str">
        <x:f>IF(AND($E66&lt;&gt;"",$E66&lt;=AF$5+6,$F66&gt;=AF$5),"■","")</x:f>
      </x:c>
      <x:c r="AG66" s="370" t="str">
        <x:f>IF(AND($E66&lt;&gt;"",$E66&lt;=AG$5+6,$F66&gt;=AG$5),"■","")</x:f>
      </x:c>
      <x:c r="AH66" s="371" t="str">
        <x:f>IF(AND($E66&lt;&gt;"",$E66&lt;=AH$5+6,$F66&gt;=AH$5),"■","")</x:f>
      </x:c>
    </x:row>
    <x:row r="67" ht="38" customHeight="1">
      <x:c r="A67" s="466" t="str">
        <x:f>'作業計画'!A67</x:f>
        <x:v>00061</x:v>
      </x:c>
      <x:c r="B67" s="198" t="str">
        <x:f>'作業計画'!B67</x:f>
        <x:v>04.開発</x:v>
      </x:c>
      <x:c r="C67" s="56" t="str">
        <x:f>'作業計画'!C67</x:f>
        <x:v>Product：Outputのstg・tgtテーブル作成</x:v>
      </x:c>
      <x:c r="D67" s="56" t="str">
        <x:f>'作業計画'!D67</x:f>
        <x:v>開発担当（要確定）</x:v>
      </x:c>
      <x:c r="E67" s="346" t="n">
        <x:f>IF('作業計画'!O67="","",'作業計画'!O67)</x:f>
        <x:v>46391</x:v>
      </x:c>
      <x:c r="F67" s="346" t="n">
        <x:f>IF('作業計画'!P67="","",'作業計画'!P67)</x:f>
        <x:v>46392</x:v>
      </x:c>
      <x:c r="G67" s="354" t="n">
        <x:f>'作業計画'!U67</x:f>
        <x:v>0</x:v>
      </x:c>
      <x:c r="H67" s="56" t="str">
        <x:f>'作業計画'!V67</x:f>
        <x:v>予定前</x:v>
      </x:c>
      <x:c r="I67" s="372" t="str">
        <x:f>IF(AND($E67&lt;&gt;"",$E67&lt;=I$5+6,$F67&gt;=I$5),"■","")</x:f>
      </x:c>
      <x:c r="J67" s="372" t="str">
        <x:f>IF(AND($E67&lt;&gt;"",$E67&lt;=J$5+6,$F67&gt;=J$5),"■","")</x:f>
      </x:c>
      <x:c r="K67" s="372" t="str">
        <x:f>IF(AND($E67&lt;&gt;"",$E67&lt;=K$5+6,$F67&gt;=K$5),"■","")</x:f>
      </x:c>
      <x:c r="L67" s="372" t="str">
        <x:f>IF(AND($E67&lt;&gt;"",$E67&lt;=L$5+6,$F67&gt;=L$5),"■","")</x:f>
      </x:c>
      <x:c r="M67" s="372" t="str">
        <x:f>IF(AND($E67&lt;&gt;"",$E67&lt;=M$5+6,$F67&gt;=M$5),"■","")</x:f>
      </x:c>
      <x:c r="N67" s="372" t="str">
        <x:f>IF(AND($E67&lt;&gt;"",$E67&lt;=N$5+6,$F67&gt;=N$5),"■","")</x:f>
      </x:c>
      <x:c r="O67" s="372" t="str">
        <x:f>IF(AND($E67&lt;&gt;"",$E67&lt;=O$5+6,$F67&gt;=O$5),"■","")</x:f>
      </x:c>
      <x:c r="P67" s="372" t="str">
        <x:f>IF(AND($E67&lt;&gt;"",$E67&lt;=P$5+6,$F67&gt;=P$5),"■","")</x:f>
      </x:c>
      <x:c r="Q67" s="372" t="str">
        <x:f>IF(AND($E67&lt;&gt;"",$E67&lt;=Q$5+6,$F67&gt;=Q$5),"■","")</x:f>
      </x:c>
      <x:c r="R67" s="372" t="str">
        <x:f>IF(AND($E67&lt;&gt;"",$E67&lt;=R$5+6,$F67&gt;=R$5),"■","")</x:f>
      </x:c>
      <x:c r="S67" s="372" t="str">
        <x:f>IF(AND($E67&lt;&gt;"",$E67&lt;=S$5+6,$F67&gt;=S$5),"■","")</x:f>
      </x:c>
      <x:c r="T67" s="372" t="str">
        <x:f>IF(AND($E67&lt;&gt;"",$E67&lt;=T$5+6,$F67&gt;=T$5),"■","")</x:f>
        <x:v>■</x:v>
      </x:c>
      <x:c r="U67" s="372" t="str">
        <x:f>IF(AND($E67&lt;&gt;"",$E67&lt;=U$5+6,$F67&gt;=U$5),"■","")</x:f>
      </x:c>
      <x:c r="V67" s="372" t="str">
        <x:f>IF(AND($E67&lt;&gt;"",$E67&lt;=V$5+6,$F67&gt;=V$5),"■","")</x:f>
      </x:c>
      <x:c r="W67" s="372" t="str">
        <x:f>IF(AND($E67&lt;&gt;"",$E67&lt;=W$5+6,$F67&gt;=W$5),"■","")</x:f>
      </x:c>
      <x:c r="X67" s="372" t="str">
        <x:f>IF(AND($E67&lt;&gt;"",$E67&lt;=X$5+6,$F67&gt;=X$5),"■","")</x:f>
      </x:c>
      <x:c r="Y67" s="372" t="str">
        <x:f>IF(AND($E67&lt;&gt;"",$E67&lt;=Y$5+6,$F67&gt;=Y$5),"■","")</x:f>
      </x:c>
      <x:c r="Z67" s="372" t="str">
        <x:f>IF(AND($E67&lt;&gt;"",$E67&lt;=Z$5+6,$F67&gt;=Z$5),"■","")</x:f>
      </x:c>
      <x:c r="AA67" s="372" t="str">
        <x:f>IF(AND($E67&lt;&gt;"",$E67&lt;=AA$5+6,$F67&gt;=AA$5),"■","")</x:f>
      </x:c>
      <x:c r="AB67" s="372" t="str">
        <x:f>IF(AND($E67&lt;&gt;"",$E67&lt;=AB$5+6,$F67&gt;=AB$5),"■","")</x:f>
      </x:c>
      <x:c r="AC67" s="372" t="str">
        <x:f>IF(AND($E67&lt;&gt;"",$E67&lt;=AC$5+6,$F67&gt;=AC$5),"■","")</x:f>
      </x:c>
      <x:c r="AD67" s="372" t="str">
        <x:f>IF(AND($E67&lt;&gt;"",$E67&lt;=AD$5+6,$F67&gt;=AD$5),"■","")</x:f>
      </x:c>
      <x:c r="AE67" s="372" t="str">
        <x:f>IF(AND($E67&lt;&gt;"",$E67&lt;=AE$5+6,$F67&gt;=AE$5),"■","")</x:f>
      </x:c>
      <x:c r="AF67" s="372" t="str">
        <x:f>IF(AND($E67&lt;&gt;"",$E67&lt;=AF$5+6,$F67&gt;=AF$5),"■","")</x:f>
      </x:c>
      <x:c r="AG67" s="372" t="str">
        <x:f>IF(AND($E67&lt;&gt;"",$E67&lt;=AG$5+6,$F67&gt;=AG$5),"■","")</x:f>
      </x:c>
      <x:c r="AH67" s="373" t="str">
        <x:f>IF(AND($E67&lt;&gt;"",$E67&lt;=AH$5+6,$F67&gt;=AH$5),"■","")</x:f>
      </x:c>
    </x:row>
    <x:row r="68" ht="38" customHeight="1">
      <x:c r="A68" s="465" t="str">
        <x:f>'作業計画'!A68</x:f>
        <x:v>00062</x:v>
      </x:c>
      <x:c r="B68" s="198" t="str">
        <x:f>'作業計画'!B68</x:f>
        <x:v>04.開発</x:v>
      </x:c>
      <x:c r="C68" s="48" t="str">
        <x:f>'作業計画'!C68</x:f>
        <x:v>Contact：Outputのstg・tgtテーブル作成</x:v>
      </x:c>
      <x:c r="D68" s="48" t="str">
        <x:f>'作業計画'!D68</x:f>
        <x:v>開発担当（要確定）</x:v>
      </x:c>
      <x:c r="E68" s="345" t="n">
        <x:f>IF('作業計画'!O68="","",'作業計画'!O68)</x:f>
        <x:v>46393</x:v>
      </x:c>
      <x:c r="F68" s="345" t="n">
        <x:f>IF('作業計画'!P68="","",'作業計画'!P68)</x:f>
        <x:v>46394</x:v>
      </x:c>
      <x:c r="G68" s="353" t="n">
        <x:f>'作業計画'!U68</x:f>
        <x:v>0</x:v>
      </x:c>
      <x:c r="H68" s="48" t="str">
        <x:f>'作業計画'!V68</x:f>
        <x:v>予定前</x:v>
      </x:c>
      <x:c r="I68" s="370" t="str">
        <x:f>IF(AND($E68&lt;&gt;"",$E68&lt;=I$5+6,$F68&gt;=I$5),"■","")</x:f>
      </x:c>
      <x:c r="J68" s="370" t="str">
        <x:f>IF(AND($E68&lt;&gt;"",$E68&lt;=J$5+6,$F68&gt;=J$5),"■","")</x:f>
      </x:c>
      <x:c r="K68" s="370" t="str">
        <x:f>IF(AND($E68&lt;&gt;"",$E68&lt;=K$5+6,$F68&gt;=K$5),"■","")</x:f>
      </x:c>
      <x:c r="L68" s="370" t="str">
        <x:f>IF(AND($E68&lt;&gt;"",$E68&lt;=L$5+6,$F68&gt;=L$5),"■","")</x:f>
      </x:c>
      <x:c r="M68" s="370" t="str">
        <x:f>IF(AND($E68&lt;&gt;"",$E68&lt;=M$5+6,$F68&gt;=M$5),"■","")</x:f>
      </x:c>
      <x:c r="N68" s="370" t="str">
        <x:f>IF(AND($E68&lt;&gt;"",$E68&lt;=N$5+6,$F68&gt;=N$5),"■","")</x:f>
      </x:c>
      <x:c r="O68" s="370" t="str">
        <x:f>IF(AND($E68&lt;&gt;"",$E68&lt;=O$5+6,$F68&gt;=O$5),"■","")</x:f>
      </x:c>
      <x:c r="P68" s="370" t="str">
        <x:f>IF(AND($E68&lt;&gt;"",$E68&lt;=P$5+6,$F68&gt;=P$5),"■","")</x:f>
      </x:c>
      <x:c r="Q68" s="370" t="str">
        <x:f>IF(AND($E68&lt;&gt;"",$E68&lt;=Q$5+6,$F68&gt;=Q$5),"■","")</x:f>
      </x:c>
      <x:c r="R68" s="370" t="str">
        <x:f>IF(AND($E68&lt;&gt;"",$E68&lt;=R$5+6,$F68&gt;=R$5),"■","")</x:f>
      </x:c>
      <x:c r="S68" s="370" t="str">
        <x:f>IF(AND($E68&lt;&gt;"",$E68&lt;=S$5+6,$F68&gt;=S$5),"■","")</x:f>
      </x:c>
      <x:c r="T68" s="370" t="str">
        <x:f>IF(AND($E68&lt;&gt;"",$E68&lt;=T$5+6,$F68&gt;=T$5),"■","")</x:f>
        <x:v>■</x:v>
      </x:c>
      <x:c r="U68" s="370" t="str">
        <x:f>IF(AND($E68&lt;&gt;"",$E68&lt;=U$5+6,$F68&gt;=U$5),"■","")</x:f>
      </x:c>
      <x:c r="V68" s="370" t="str">
        <x:f>IF(AND($E68&lt;&gt;"",$E68&lt;=V$5+6,$F68&gt;=V$5),"■","")</x:f>
      </x:c>
      <x:c r="W68" s="370" t="str">
        <x:f>IF(AND($E68&lt;&gt;"",$E68&lt;=W$5+6,$F68&gt;=W$5),"■","")</x:f>
      </x:c>
      <x:c r="X68" s="370" t="str">
        <x:f>IF(AND($E68&lt;&gt;"",$E68&lt;=X$5+6,$F68&gt;=X$5),"■","")</x:f>
      </x:c>
      <x:c r="Y68" s="370" t="str">
        <x:f>IF(AND($E68&lt;&gt;"",$E68&lt;=Y$5+6,$F68&gt;=Y$5),"■","")</x:f>
      </x:c>
      <x:c r="Z68" s="370" t="str">
        <x:f>IF(AND($E68&lt;&gt;"",$E68&lt;=Z$5+6,$F68&gt;=Z$5),"■","")</x:f>
      </x:c>
      <x:c r="AA68" s="370" t="str">
        <x:f>IF(AND($E68&lt;&gt;"",$E68&lt;=AA$5+6,$F68&gt;=AA$5),"■","")</x:f>
      </x:c>
      <x:c r="AB68" s="370" t="str">
        <x:f>IF(AND($E68&lt;&gt;"",$E68&lt;=AB$5+6,$F68&gt;=AB$5),"■","")</x:f>
      </x:c>
      <x:c r="AC68" s="370" t="str">
        <x:f>IF(AND($E68&lt;&gt;"",$E68&lt;=AC$5+6,$F68&gt;=AC$5),"■","")</x:f>
      </x:c>
      <x:c r="AD68" s="370" t="str">
        <x:f>IF(AND($E68&lt;&gt;"",$E68&lt;=AD$5+6,$F68&gt;=AD$5),"■","")</x:f>
      </x:c>
      <x:c r="AE68" s="370" t="str">
        <x:f>IF(AND($E68&lt;&gt;"",$E68&lt;=AE$5+6,$F68&gt;=AE$5),"■","")</x:f>
      </x:c>
      <x:c r="AF68" s="370" t="str">
        <x:f>IF(AND($E68&lt;&gt;"",$E68&lt;=AF$5+6,$F68&gt;=AF$5),"■","")</x:f>
      </x:c>
      <x:c r="AG68" s="370" t="str">
        <x:f>IF(AND($E68&lt;&gt;"",$E68&lt;=AG$5+6,$F68&gt;=AG$5),"■","")</x:f>
      </x:c>
      <x:c r="AH68" s="371" t="str">
        <x:f>IF(AND($E68&lt;&gt;"",$E68&lt;=AH$5+6,$F68&gt;=AH$5),"■","")</x:f>
      </x:c>
    </x:row>
    <x:row r="69" ht="38" customHeight="1">
      <x:c r="A69" s="466" t="str">
        <x:f>'作業計画'!A69</x:f>
        <x:v>00063</x:v>
      </x:c>
      <x:c r="B69" s="198" t="str">
        <x:f>'作業計画'!B69</x:f>
        <x:v>04.開発</x:v>
      </x:c>
      <x:c r="C69" s="56" t="str">
        <x:f>'作業計画'!C69</x:f>
        <x:v>Account：Outputのstg・tgtテーブル作成</x:v>
      </x:c>
      <x:c r="D69" s="56" t="str">
        <x:f>'作業計画'!D69</x:f>
        <x:v>開発担当（要確定）</x:v>
      </x:c>
      <x:c r="E69" s="346" t="n">
        <x:f>IF('作業計画'!O69="","",'作業計画'!O69)</x:f>
        <x:v>46395</x:v>
      </x:c>
      <x:c r="F69" s="346" t="n">
        <x:f>IF('作業計画'!P69="","",'作業計画'!P69)</x:f>
        <x:v>46398</x:v>
      </x:c>
      <x:c r="G69" s="354" t="n">
        <x:f>'作業計画'!U69</x:f>
        <x:v>0</x:v>
      </x:c>
      <x:c r="H69" s="56" t="str">
        <x:f>'作業計画'!V69</x:f>
        <x:v>予定前</x:v>
      </x:c>
      <x:c r="I69" s="372" t="str">
        <x:f>IF(AND($E69&lt;&gt;"",$E69&lt;=I$5+6,$F69&gt;=I$5),"■","")</x:f>
      </x:c>
      <x:c r="J69" s="372" t="str">
        <x:f>IF(AND($E69&lt;&gt;"",$E69&lt;=J$5+6,$F69&gt;=J$5),"■","")</x:f>
      </x:c>
      <x:c r="K69" s="372" t="str">
        <x:f>IF(AND($E69&lt;&gt;"",$E69&lt;=K$5+6,$F69&gt;=K$5),"■","")</x:f>
      </x:c>
      <x:c r="L69" s="372" t="str">
        <x:f>IF(AND($E69&lt;&gt;"",$E69&lt;=L$5+6,$F69&gt;=L$5),"■","")</x:f>
      </x:c>
      <x:c r="M69" s="372" t="str">
        <x:f>IF(AND($E69&lt;&gt;"",$E69&lt;=M$5+6,$F69&gt;=M$5),"■","")</x:f>
      </x:c>
      <x:c r="N69" s="372" t="str">
        <x:f>IF(AND($E69&lt;&gt;"",$E69&lt;=N$5+6,$F69&gt;=N$5),"■","")</x:f>
      </x:c>
      <x:c r="O69" s="372" t="str">
        <x:f>IF(AND($E69&lt;&gt;"",$E69&lt;=O$5+6,$F69&gt;=O$5),"■","")</x:f>
      </x:c>
      <x:c r="P69" s="372" t="str">
        <x:f>IF(AND($E69&lt;&gt;"",$E69&lt;=P$5+6,$F69&gt;=P$5),"■","")</x:f>
      </x:c>
      <x:c r="Q69" s="372" t="str">
        <x:f>IF(AND($E69&lt;&gt;"",$E69&lt;=Q$5+6,$F69&gt;=Q$5),"■","")</x:f>
      </x:c>
      <x:c r="R69" s="372" t="str">
        <x:f>IF(AND($E69&lt;&gt;"",$E69&lt;=R$5+6,$F69&gt;=R$5),"■","")</x:f>
      </x:c>
      <x:c r="S69" s="372" t="str">
        <x:f>IF(AND($E69&lt;&gt;"",$E69&lt;=S$5+6,$F69&gt;=S$5),"■","")</x:f>
      </x:c>
      <x:c r="T69" s="372" t="str">
        <x:f>IF(AND($E69&lt;&gt;"",$E69&lt;=T$5+6,$F69&gt;=T$5),"■","")</x:f>
        <x:v>■</x:v>
      </x:c>
      <x:c r="U69" s="372" t="str">
        <x:f>IF(AND($E69&lt;&gt;"",$E69&lt;=U$5+6,$F69&gt;=U$5),"■","")</x:f>
        <x:v>■</x:v>
      </x:c>
      <x:c r="V69" s="372" t="str">
        <x:f>IF(AND($E69&lt;&gt;"",$E69&lt;=V$5+6,$F69&gt;=V$5),"■","")</x:f>
      </x:c>
      <x:c r="W69" s="372" t="str">
        <x:f>IF(AND($E69&lt;&gt;"",$E69&lt;=W$5+6,$F69&gt;=W$5),"■","")</x:f>
      </x:c>
      <x:c r="X69" s="372" t="str">
        <x:f>IF(AND($E69&lt;&gt;"",$E69&lt;=X$5+6,$F69&gt;=X$5),"■","")</x:f>
      </x:c>
      <x:c r="Y69" s="372" t="str">
        <x:f>IF(AND($E69&lt;&gt;"",$E69&lt;=Y$5+6,$F69&gt;=Y$5),"■","")</x:f>
      </x:c>
      <x:c r="Z69" s="372" t="str">
        <x:f>IF(AND($E69&lt;&gt;"",$E69&lt;=Z$5+6,$F69&gt;=Z$5),"■","")</x:f>
      </x:c>
      <x:c r="AA69" s="372" t="str">
        <x:f>IF(AND($E69&lt;&gt;"",$E69&lt;=AA$5+6,$F69&gt;=AA$5),"■","")</x:f>
      </x:c>
      <x:c r="AB69" s="372" t="str">
        <x:f>IF(AND($E69&lt;&gt;"",$E69&lt;=AB$5+6,$F69&gt;=AB$5),"■","")</x:f>
      </x:c>
      <x:c r="AC69" s="372" t="str">
        <x:f>IF(AND($E69&lt;&gt;"",$E69&lt;=AC$5+6,$F69&gt;=AC$5),"■","")</x:f>
      </x:c>
      <x:c r="AD69" s="372" t="str">
        <x:f>IF(AND($E69&lt;&gt;"",$E69&lt;=AD$5+6,$F69&gt;=AD$5),"■","")</x:f>
      </x:c>
      <x:c r="AE69" s="372" t="str">
        <x:f>IF(AND($E69&lt;&gt;"",$E69&lt;=AE$5+6,$F69&gt;=AE$5),"■","")</x:f>
      </x:c>
      <x:c r="AF69" s="372" t="str">
        <x:f>IF(AND($E69&lt;&gt;"",$E69&lt;=AF$5+6,$F69&gt;=AF$5),"■","")</x:f>
      </x:c>
      <x:c r="AG69" s="372" t="str">
        <x:f>IF(AND($E69&lt;&gt;"",$E69&lt;=AG$5+6,$F69&gt;=AG$5),"■","")</x:f>
      </x:c>
      <x:c r="AH69" s="373" t="str">
        <x:f>IF(AND($E69&lt;&gt;"",$E69&lt;=AH$5+6,$F69&gt;=AH$5),"■","")</x:f>
      </x:c>
    </x:row>
    <x:row r="70" ht="38" customHeight="1">
      <x:c r="A70" s="465" t="str">
        <x:f>'作業計画'!A70</x:f>
        <x:v>00064</x:v>
      </x:c>
      <x:c r="B70" s="198" t="str">
        <x:f>'作業計画'!B70</x:f>
        <x:v>04.開発</x:v>
      </x:c>
      <x:c r="C70" s="48" t="str">
        <x:f>'作業計画'!C70</x:f>
        <x:v>AccountContact：Outputのstg・tgtテーブル作成</x:v>
      </x:c>
      <x:c r="D70" s="48" t="str">
        <x:f>'作業計画'!D70</x:f>
        <x:v>開発担当（要確定）</x:v>
      </x:c>
      <x:c r="E70" s="345" t="n">
        <x:f>IF('作業計画'!O70="","",'作業計画'!O70)</x:f>
        <x:v>46399</x:v>
      </x:c>
      <x:c r="F70" s="345" t="n">
        <x:f>IF('作業計画'!P70="","",'作業計画'!P70)</x:f>
        <x:v>46400</x:v>
      </x:c>
      <x:c r="G70" s="353" t="n">
        <x:f>'作業計画'!U70</x:f>
        <x:v>0</x:v>
      </x:c>
      <x:c r="H70" s="48" t="str">
        <x:f>'作業計画'!V70</x:f>
        <x:v>予定前</x:v>
      </x:c>
      <x:c r="I70" s="370" t="str">
        <x:f>IF(AND($E70&lt;&gt;"",$E70&lt;=I$5+6,$F70&gt;=I$5),"■","")</x:f>
      </x:c>
      <x:c r="J70" s="370" t="str">
        <x:f>IF(AND($E70&lt;&gt;"",$E70&lt;=J$5+6,$F70&gt;=J$5),"■","")</x:f>
      </x:c>
      <x:c r="K70" s="370" t="str">
        <x:f>IF(AND($E70&lt;&gt;"",$E70&lt;=K$5+6,$F70&gt;=K$5),"■","")</x:f>
      </x:c>
      <x:c r="L70" s="370" t="str">
        <x:f>IF(AND($E70&lt;&gt;"",$E70&lt;=L$5+6,$F70&gt;=L$5),"■","")</x:f>
      </x:c>
      <x:c r="M70" s="370" t="str">
        <x:f>IF(AND($E70&lt;&gt;"",$E70&lt;=M$5+6,$F70&gt;=M$5),"■","")</x:f>
      </x:c>
      <x:c r="N70" s="370" t="str">
        <x:f>IF(AND($E70&lt;&gt;"",$E70&lt;=N$5+6,$F70&gt;=N$5),"■","")</x:f>
      </x:c>
      <x:c r="O70" s="370" t="str">
        <x:f>IF(AND($E70&lt;&gt;"",$E70&lt;=O$5+6,$F70&gt;=O$5),"■","")</x:f>
      </x:c>
      <x:c r="P70" s="370" t="str">
        <x:f>IF(AND($E70&lt;&gt;"",$E70&lt;=P$5+6,$F70&gt;=P$5),"■","")</x:f>
      </x:c>
      <x:c r="Q70" s="370" t="str">
        <x:f>IF(AND($E70&lt;&gt;"",$E70&lt;=Q$5+6,$F70&gt;=Q$5),"■","")</x:f>
      </x:c>
      <x:c r="R70" s="370" t="str">
        <x:f>IF(AND($E70&lt;&gt;"",$E70&lt;=R$5+6,$F70&gt;=R$5),"■","")</x:f>
      </x:c>
      <x:c r="S70" s="370" t="str">
        <x:f>IF(AND($E70&lt;&gt;"",$E70&lt;=S$5+6,$F70&gt;=S$5),"■","")</x:f>
      </x:c>
      <x:c r="T70" s="370" t="str">
        <x:f>IF(AND($E70&lt;&gt;"",$E70&lt;=T$5+6,$F70&gt;=T$5),"■","")</x:f>
      </x:c>
      <x:c r="U70" s="370" t="str">
        <x:f>IF(AND($E70&lt;&gt;"",$E70&lt;=U$5+6,$F70&gt;=U$5),"■","")</x:f>
        <x:v>■</x:v>
      </x:c>
      <x:c r="V70" s="370" t="str">
        <x:f>IF(AND($E70&lt;&gt;"",$E70&lt;=V$5+6,$F70&gt;=V$5),"■","")</x:f>
      </x:c>
      <x:c r="W70" s="370" t="str">
        <x:f>IF(AND($E70&lt;&gt;"",$E70&lt;=W$5+6,$F70&gt;=W$5),"■","")</x:f>
      </x:c>
      <x:c r="X70" s="370" t="str">
        <x:f>IF(AND($E70&lt;&gt;"",$E70&lt;=X$5+6,$F70&gt;=X$5),"■","")</x:f>
      </x:c>
      <x:c r="Y70" s="370" t="str">
        <x:f>IF(AND($E70&lt;&gt;"",$E70&lt;=Y$5+6,$F70&gt;=Y$5),"■","")</x:f>
      </x:c>
      <x:c r="Z70" s="370" t="str">
        <x:f>IF(AND($E70&lt;&gt;"",$E70&lt;=Z$5+6,$F70&gt;=Z$5),"■","")</x:f>
      </x:c>
      <x:c r="AA70" s="370" t="str">
        <x:f>IF(AND($E70&lt;&gt;"",$E70&lt;=AA$5+6,$F70&gt;=AA$5),"■","")</x:f>
      </x:c>
      <x:c r="AB70" s="370" t="str">
        <x:f>IF(AND($E70&lt;&gt;"",$E70&lt;=AB$5+6,$F70&gt;=AB$5),"■","")</x:f>
      </x:c>
      <x:c r="AC70" s="370" t="str">
        <x:f>IF(AND($E70&lt;&gt;"",$E70&lt;=AC$5+6,$F70&gt;=AC$5),"■","")</x:f>
      </x:c>
      <x:c r="AD70" s="370" t="str">
        <x:f>IF(AND($E70&lt;&gt;"",$E70&lt;=AD$5+6,$F70&gt;=AD$5),"■","")</x:f>
      </x:c>
      <x:c r="AE70" s="370" t="str">
        <x:f>IF(AND($E70&lt;&gt;"",$E70&lt;=AE$5+6,$F70&gt;=AE$5),"■","")</x:f>
      </x:c>
      <x:c r="AF70" s="370" t="str">
        <x:f>IF(AND($E70&lt;&gt;"",$E70&lt;=AF$5+6,$F70&gt;=AF$5),"■","")</x:f>
      </x:c>
      <x:c r="AG70" s="370" t="str">
        <x:f>IF(AND($E70&lt;&gt;"",$E70&lt;=AG$5+6,$F70&gt;=AG$5),"■","")</x:f>
      </x:c>
      <x:c r="AH70" s="371" t="str">
        <x:f>IF(AND($E70&lt;&gt;"",$E70&lt;=AH$5+6,$F70&gt;=AH$5),"■","")</x:f>
      </x:c>
    </x:row>
    <x:row r="71" ht="38" customHeight="1">
      <x:c r="A71" s="466" t="str">
        <x:f>'作業計画'!A71</x:f>
        <x:v>00065</x:v>
      </x:c>
      <x:c r="B71" s="198" t="str">
        <x:f>'作業計画'!B71</x:f>
        <x:v>04.開発</x:v>
      </x:c>
      <x:c r="C71" s="56" t="str">
        <x:f>'作業計画'!C71</x:f>
        <x:v>SalesRepHospital：Outputのstg・tgtテーブル作成</x:v>
      </x:c>
      <x:c r="D71" s="56" t="str">
        <x:f>'作業計画'!D71</x:f>
        <x:v>開発担当（要確定）</x:v>
      </x:c>
      <x:c r="E71" s="346" t="n">
        <x:f>IF('作業計画'!O71="","",'作業計画'!O71)</x:f>
        <x:v>46401</x:v>
      </x:c>
      <x:c r="F71" s="346" t="n">
        <x:f>IF('作業計画'!P71="","",'作業計画'!P71)</x:f>
        <x:v>46402</x:v>
      </x:c>
      <x:c r="G71" s="354" t="n">
        <x:f>'作業計画'!U71</x:f>
        <x:v>0</x:v>
      </x:c>
      <x:c r="H71" s="56" t="str">
        <x:f>'作業計画'!V71</x:f>
        <x:v>予定前</x:v>
      </x:c>
      <x:c r="I71" s="372" t="str">
        <x:f>IF(AND($E71&lt;&gt;"",$E71&lt;=I$5+6,$F71&gt;=I$5),"■","")</x:f>
      </x:c>
      <x:c r="J71" s="372" t="str">
        <x:f>IF(AND($E71&lt;&gt;"",$E71&lt;=J$5+6,$F71&gt;=J$5),"■","")</x:f>
      </x:c>
      <x:c r="K71" s="372" t="str">
        <x:f>IF(AND($E71&lt;&gt;"",$E71&lt;=K$5+6,$F71&gt;=K$5),"■","")</x:f>
      </x:c>
      <x:c r="L71" s="372" t="str">
        <x:f>IF(AND($E71&lt;&gt;"",$E71&lt;=L$5+6,$F71&gt;=L$5),"■","")</x:f>
      </x:c>
      <x:c r="M71" s="372" t="str">
        <x:f>IF(AND($E71&lt;&gt;"",$E71&lt;=M$5+6,$F71&gt;=M$5),"■","")</x:f>
      </x:c>
      <x:c r="N71" s="372" t="str">
        <x:f>IF(AND($E71&lt;&gt;"",$E71&lt;=N$5+6,$F71&gt;=N$5),"■","")</x:f>
      </x:c>
      <x:c r="O71" s="372" t="str">
        <x:f>IF(AND($E71&lt;&gt;"",$E71&lt;=O$5+6,$F71&gt;=O$5),"■","")</x:f>
      </x:c>
      <x:c r="P71" s="372" t="str">
        <x:f>IF(AND($E71&lt;&gt;"",$E71&lt;=P$5+6,$F71&gt;=P$5),"■","")</x:f>
      </x:c>
      <x:c r="Q71" s="372" t="str">
        <x:f>IF(AND($E71&lt;&gt;"",$E71&lt;=Q$5+6,$F71&gt;=Q$5),"■","")</x:f>
      </x:c>
      <x:c r="R71" s="372" t="str">
        <x:f>IF(AND($E71&lt;&gt;"",$E71&lt;=R$5+6,$F71&gt;=R$5),"■","")</x:f>
      </x:c>
      <x:c r="S71" s="372" t="str">
        <x:f>IF(AND($E71&lt;&gt;"",$E71&lt;=S$5+6,$F71&gt;=S$5),"■","")</x:f>
      </x:c>
      <x:c r="T71" s="372" t="str">
        <x:f>IF(AND($E71&lt;&gt;"",$E71&lt;=T$5+6,$F71&gt;=T$5),"■","")</x:f>
      </x:c>
      <x:c r="U71" s="372" t="str">
        <x:f>IF(AND($E71&lt;&gt;"",$E71&lt;=U$5+6,$F71&gt;=U$5),"■","")</x:f>
        <x:v>■</x:v>
      </x:c>
      <x:c r="V71" s="372" t="str">
        <x:f>IF(AND($E71&lt;&gt;"",$E71&lt;=V$5+6,$F71&gt;=V$5),"■","")</x:f>
      </x:c>
      <x:c r="W71" s="372" t="str">
        <x:f>IF(AND($E71&lt;&gt;"",$E71&lt;=W$5+6,$F71&gt;=W$5),"■","")</x:f>
      </x:c>
      <x:c r="X71" s="372" t="str">
        <x:f>IF(AND($E71&lt;&gt;"",$E71&lt;=X$5+6,$F71&gt;=X$5),"■","")</x:f>
      </x:c>
      <x:c r="Y71" s="372" t="str">
        <x:f>IF(AND($E71&lt;&gt;"",$E71&lt;=Y$5+6,$F71&gt;=Y$5),"■","")</x:f>
      </x:c>
      <x:c r="Z71" s="372" t="str">
        <x:f>IF(AND($E71&lt;&gt;"",$E71&lt;=Z$5+6,$F71&gt;=Z$5),"■","")</x:f>
      </x:c>
      <x:c r="AA71" s="372" t="str">
        <x:f>IF(AND($E71&lt;&gt;"",$E71&lt;=AA$5+6,$F71&gt;=AA$5),"■","")</x:f>
      </x:c>
      <x:c r="AB71" s="372" t="str">
        <x:f>IF(AND($E71&lt;&gt;"",$E71&lt;=AB$5+6,$F71&gt;=AB$5),"■","")</x:f>
      </x:c>
      <x:c r="AC71" s="372" t="str">
        <x:f>IF(AND($E71&lt;&gt;"",$E71&lt;=AC$5+6,$F71&gt;=AC$5),"■","")</x:f>
      </x:c>
      <x:c r="AD71" s="372" t="str">
        <x:f>IF(AND($E71&lt;&gt;"",$E71&lt;=AD$5+6,$F71&gt;=AD$5),"■","")</x:f>
      </x:c>
      <x:c r="AE71" s="372" t="str">
        <x:f>IF(AND($E71&lt;&gt;"",$E71&lt;=AE$5+6,$F71&gt;=AE$5),"■","")</x:f>
      </x:c>
      <x:c r="AF71" s="372" t="str">
        <x:f>IF(AND($E71&lt;&gt;"",$E71&lt;=AF$5+6,$F71&gt;=AF$5),"■","")</x:f>
      </x:c>
      <x:c r="AG71" s="372" t="str">
        <x:f>IF(AND($E71&lt;&gt;"",$E71&lt;=AG$5+6,$F71&gt;=AG$5),"■","")</x:f>
      </x:c>
      <x:c r="AH71" s="373" t="str">
        <x:f>IF(AND($E71&lt;&gt;"",$E71&lt;=AH$5+6,$F71&gt;=AH$5),"■","")</x:f>
      </x:c>
    </x:row>
    <x:row r="72" ht="38" customHeight="1">
      <x:c r="A72" s="465" t="str">
        <x:f>'作業計画'!A72</x:f>
        <x:v>00066</x:v>
      </x:c>
      <x:c r="B72" s="198" t="str">
        <x:f>'作業計画'!B72</x:f>
        <x:v>04.開発</x:v>
      </x:c>
      <x:c r="C72" s="48" t="str">
        <x:f>'作業計画'!C72</x:f>
        <x:v>OutputLakehouse：Watermarkテーブル作成</x:v>
      </x:c>
      <x:c r="D72" s="48" t="str">
        <x:f>'作業計画'!D72</x:f>
        <x:v>開発担当（要確定）</x:v>
      </x:c>
      <x:c r="E72" s="345" t="n">
        <x:f>IF('作業計画'!O72="","",'作業計画'!O72)</x:f>
        <x:v>46385</x:v>
      </x:c>
      <x:c r="F72" s="345" t="n">
        <x:f>IF('作業計画'!P72="","",'作業計画'!P72)</x:f>
        <x:v>46386</x:v>
      </x:c>
      <x:c r="G72" s="353" t="n">
        <x:f>'作業計画'!U72</x:f>
        <x:v>0</x:v>
      </x:c>
      <x:c r="H72" s="48" t="str">
        <x:f>'作業計画'!V72</x:f>
        <x:v>予定前</x:v>
      </x:c>
      <x:c r="I72" s="370" t="str">
        <x:f>IF(AND($E72&lt;&gt;"",$E72&lt;=I$5+6,$F72&gt;=I$5),"■","")</x:f>
      </x:c>
      <x:c r="J72" s="370" t="str">
        <x:f>IF(AND($E72&lt;&gt;"",$E72&lt;=J$5+6,$F72&gt;=J$5),"■","")</x:f>
      </x:c>
      <x:c r="K72" s="370" t="str">
        <x:f>IF(AND($E72&lt;&gt;"",$E72&lt;=K$5+6,$F72&gt;=K$5),"■","")</x:f>
      </x:c>
      <x:c r="L72" s="370" t="str">
        <x:f>IF(AND($E72&lt;&gt;"",$E72&lt;=L$5+6,$F72&gt;=L$5),"■","")</x:f>
      </x:c>
      <x:c r="M72" s="370" t="str">
        <x:f>IF(AND($E72&lt;&gt;"",$E72&lt;=M$5+6,$F72&gt;=M$5),"■","")</x:f>
      </x:c>
      <x:c r="N72" s="370" t="str">
        <x:f>IF(AND($E72&lt;&gt;"",$E72&lt;=N$5+6,$F72&gt;=N$5),"■","")</x:f>
      </x:c>
      <x:c r="O72" s="370" t="str">
        <x:f>IF(AND($E72&lt;&gt;"",$E72&lt;=O$5+6,$F72&gt;=O$5),"■","")</x:f>
      </x:c>
      <x:c r="P72" s="370" t="str">
        <x:f>IF(AND($E72&lt;&gt;"",$E72&lt;=P$5+6,$F72&gt;=P$5),"■","")</x:f>
      </x:c>
      <x:c r="Q72" s="370" t="str">
        <x:f>IF(AND($E72&lt;&gt;"",$E72&lt;=Q$5+6,$F72&gt;=Q$5),"■","")</x:f>
      </x:c>
      <x:c r="R72" s="370" t="str">
        <x:f>IF(AND($E72&lt;&gt;"",$E72&lt;=R$5+6,$F72&gt;=R$5),"■","")</x:f>
      </x:c>
      <x:c r="S72" s="370" t="str">
        <x:f>IF(AND($E72&lt;&gt;"",$E72&lt;=S$5+6,$F72&gt;=S$5),"■","")</x:f>
        <x:v>■</x:v>
      </x:c>
      <x:c r="T72" s="370" t="str">
        <x:f>IF(AND($E72&lt;&gt;"",$E72&lt;=T$5+6,$F72&gt;=T$5),"■","")</x:f>
      </x:c>
      <x:c r="U72" s="370" t="str">
        <x:f>IF(AND($E72&lt;&gt;"",$E72&lt;=U$5+6,$F72&gt;=U$5),"■","")</x:f>
      </x:c>
      <x:c r="V72" s="370" t="str">
        <x:f>IF(AND($E72&lt;&gt;"",$E72&lt;=V$5+6,$F72&gt;=V$5),"■","")</x:f>
      </x:c>
      <x:c r="W72" s="370" t="str">
        <x:f>IF(AND($E72&lt;&gt;"",$E72&lt;=W$5+6,$F72&gt;=W$5),"■","")</x:f>
      </x:c>
      <x:c r="X72" s="370" t="str">
        <x:f>IF(AND($E72&lt;&gt;"",$E72&lt;=X$5+6,$F72&gt;=X$5),"■","")</x:f>
      </x:c>
      <x:c r="Y72" s="370" t="str">
        <x:f>IF(AND($E72&lt;&gt;"",$E72&lt;=Y$5+6,$F72&gt;=Y$5),"■","")</x:f>
      </x:c>
      <x:c r="Z72" s="370" t="str">
        <x:f>IF(AND($E72&lt;&gt;"",$E72&lt;=Z$5+6,$F72&gt;=Z$5),"■","")</x:f>
      </x:c>
      <x:c r="AA72" s="370" t="str">
        <x:f>IF(AND($E72&lt;&gt;"",$E72&lt;=AA$5+6,$F72&gt;=AA$5),"■","")</x:f>
      </x:c>
      <x:c r="AB72" s="370" t="str">
        <x:f>IF(AND($E72&lt;&gt;"",$E72&lt;=AB$5+6,$F72&gt;=AB$5),"■","")</x:f>
      </x:c>
      <x:c r="AC72" s="370" t="str">
        <x:f>IF(AND($E72&lt;&gt;"",$E72&lt;=AC$5+6,$F72&gt;=AC$5),"■","")</x:f>
      </x:c>
      <x:c r="AD72" s="370" t="str">
        <x:f>IF(AND($E72&lt;&gt;"",$E72&lt;=AD$5+6,$F72&gt;=AD$5),"■","")</x:f>
      </x:c>
      <x:c r="AE72" s="370" t="str">
        <x:f>IF(AND($E72&lt;&gt;"",$E72&lt;=AE$5+6,$F72&gt;=AE$5),"■","")</x:f>
      </x:c>
      <x:c r="AF72" s="370" t="str">
        <x:f>IF(AND($E72&lt;&gt;"",$E72&lt;=AF$5+6,$F72&gt;=AF$5),"■","")</x:f>
      </x:c>
      <x:c r="AG72" s="370" t="str">
        <x:f>IF(AND($E72&lt;&gt;"",$E72&lt;=AG$5+6,$F72&gt;=AG$5),"■","")</x:f>
      </x:c>
      <x:c r="AH72" s="371" t="str">
        <x:f>IF(AND($E72&lt;&gt;"",$E72&lt;=AH$5+6,$F72&gt;=AH$5),"■","")</x:f>
      </x:c>
    </x:row>
    <x:row r="73" ht="38" customHeight="1">
      <x:c r="A73" s="466" t="str">
        <x:f>'作業計画'!A73</x:f>
        <x:v>00067</x:v>
      </x:c>
      <x:c r="B73" s="198" t="str">
        <x:f>'作業計画'!B73</x:f>
        <x:v>04.開発</x:v>
      </x:c>
      <x:c r="C73" s="56" t="str">
        <x:f>'作業計画'!C73</x:f>
        <x:v>OutputPipeline：Dataverseコピー用1件作成</x:v>
      </x:c>
      <x:c r="D73" s="56" t="str">
        <x:f>'作業計画'!D73</x:f>
        <x:v>開発担当（要確定）</x:v>
      </x:c>
      <x:c r="E73" s="346" t="n">
        <x:f>IF('作業計画'!O73="","",'作業計画'!O73)</x:f>
        <x:v>46405</x:v>
      </x:c>
      <x:c r="F73" s="346" t="n">
        <x:f>IF('作業計画'!P73="","",'作業計画'!P73)</x:f>
        <x:v>46407</x:v>
      </x:c>
      <x:c r="G73" s="354" t="n">
        <x:f>'作業計画'!U73</x:f>
        <x:v>0</x:v>
      </x:c>
      <x:c r="H73" s="56" t="str">
        <x:f>'作業計画'!V73</x:f>
        <x:v>予定前</x:v>
      </x:c>
      <x:c r="I73" s="372" t="str">
        <x:f>IF(AND($E73&lt;&gt;"",$E73&lt;=I$5+6,$F73&gt;=I$5),"■","")</x:f>
      </x:c>
      <x:c r="J73" s="372" t="str">
        <x:f>IF(AND($E73&lt;&gt;"",$E73&lt;=J$5+6,$F73&gt;=J$5),"■","")</x:f>
      </x:c>
      <x:c r="K73" s="372" t="str">
        <x:f>IF(AND($E73&lt;&gt;"",$E73&lt;=K$5+6,$F73&gt;=K$5),"■","")</x:f>
      </x:c>
      <x:c r="L73" s="372" t="str">
        <x:f>IF(AND($E73&lt;&gt;"",$E73&lt;=L$5+6,$F73&gt;=L$5),"■","")</x:f>
      </x:c>
      <x:c r="M73" s="372" t="str">
        <x:f>IF(AND($E73&lt;&gt;"",$E73&lt;=M$5+6,$F73&gt;=M$5),"■","")</x:f>
      </x:c>
      <x:c r="N73" s="372" t="str">
        <x:f>IF(AND($E73&lt;&gt;"",$E73&lt;=N$5+6,$F73&gt;=N$5),"■","")</x:f>
      </x:c>
      <x:c r="O73" s="372" t="str">
        <x:f>IF(AND($E73&lt;&gt;"",$E73&lt;=O$5+6,$F73&gt;=O$5),"■","")</x:f>
      </x:c>
      <x:c r="P73" s="372" t="str">
        <x:f>IF(AND($E73&lt;&gt;"",$E73&lt;=P$5+6,$F73&gt;=P$5),"■","")</x:f>
      </x:c>
      <x:c r="Q73" s="372" t="str">
        <x:f>IF(AND($E73&lt;&gt;"",$E73&lt;=Q$5+6,$F73&gt;=Q$5),"■","")</x:f>
      </x:c>
      <x:c r="R73" s="372" t="str">
        <x:f>IF(AND($E73&lt;&gt;"",$E73&lt;=R$5+6,$F73&gt;=R$5),"■","")</x:f>
      </x:c>
      <x:c r="S73" s="372" t="str">
        <x:f>IF(AND($E73&lt;&gt;"",$E73&lt;=S$5+6,$F73&gt;=S$5),"■","")</x:f>
      </x:c>
      <x:c r="T73" s="372" t="str">
        <x:f>IF(AND($E73&lt;&gt;"",$E73&lt;=T$5+6,$F73&gt;=T$5),"■","")</x:f>
      </x:c>
      <x:c r="U73" s="372" t="str">
        <x:f>IF(AND($E73&lt;&gt;"",$E73&lt;=U$5+6,$F73&gt;=U$5),"■","")</x:f>
      </x:c>
      <x:c r="V73" s="372" t="str">
        <x:f>IF(AND($E73&lt;&gt;"",$E73&lt;=V$5+6,$F73&gt;=V$5),"■","")</x:f>
        <x:v>■</x:v>
      </x:c>
      <x:c r="W73" s="372" t="str">
        <x:f>IF(AND($E73&lt;&gt;"",$E73&lt;=W$5+6,$F73&gt;=W$5),"■","")</x:f>
      </x:c>
      <x:c r="X73" s="372" t="str">
        <x:f>IF(AND($E73&lt;&gt;"",$E73&lt;=X$5+6,$F73&gt;=X$5),"■","")</x:f>
      </x:c>
      <x:c r="Y73" s="372" t="str">
        <x:f>IF(AND($E73&lt;&gt;"",$E73&lt;=Y$5+6,$F73&gt;=Y$5),"■","")</x:f>
      </x:c>
      <x:c r="Z73" s="372" t="str">
        <x:f>IF(AND($E73&lt;&gt;"",$E73&lt;=Z$5+6,$F73&gt;=Z$5),"■","")</x:f>
      </x:c>
      <x:c r="AA73" s="372" t="str">
        <x:f>IF(AND($E73&lt;&gt;"",$E73&lt;=AA$5+6,$F73&gt;=AA$5),"■","")</x:f>
      </x:c>
      <x:c r="AB73" s="372" t="str">
        <x:f>IF(AND($E73&lt;&gt;"",$E73&lt;=AB$5+6,$F73&gt;=AB$5),"■","")</x:f>
      </x:c>
      <x:c r="AC73" s="372" t="str">
        <x:f>IF(AND($E73&lt;&gt;"",$E73&lt;=AC$5+6,$F73&gt;=AC$5),"■","")</x:f>
      </x:c>
      <x:c r="AD73" s="372" t="str">
        <x:f>IF(AND($E73&lt;&gt;"",$E73&lt;=AD$5+6,$F73&gt;=AD$5),"■","")</x:f>
      </x:c>
      <x:c r="AE73" s="372" t="str">
        <x:f>IF(AND($E73&lt;&gt;"",$E73&lt;=AE$5+6,$F73&gt;=AE$5),"■","")</x:f>
      </x:c>
      <x:c r="AF73" s="372" t="str">
        <x:f>IF(AND($E73&lt;&gt;"",$E73&lt;=AF$5+6,$F73&gt;=AF$5),"■","")</x:f>
      </x:c>
      <x:c r="AG73" s="372" t="str">
        <x:f>IF(AND($E73&lt;&gt;"",$E73&lt;=AG$5+6,$F73&gt;=AG$5),"■","")</x:f>
      </x:c>
      <x:c r="AH73" s="373" t="str">
        <x:f>IF(AND($E73&lt;&gt;"",$E73&lt;=AH$5+6,$F73&gt;=AH$5),"■","")</x:f>
      </x:c>
    </x:row>
    <x:row r="74" ht="38" customHeight="1">
      <x:c r="A74" s="465" t="str">
        <x:f>'作業計画'!A74</x:f>
        <x:v>00068</x:v>
      </x:c>
      <x:c r="B74" s="198" t="str">
        <x:f>'作業計画'!B74</x:f>
        <x:v>04.開発</x:v>
      </x:c>
      <x:c r="C74" s="48" t="str">
        <x:f>'作業計画'!C74</x:f>
        <x:v>開発成果物レビュー・QA実行準備</x:v>
      </x:c>
      <x:c r="D74" s="48" t="str">
        <x:f>'作業計画'!D74</x:f>
        <x:v>開発リーダー（要確定）</x:v>
      </x:c>
      <x:c r="E74" s="345" t="n">
        <x:f>IF('作業計画'!O74="","",'作業計画'!O74)</x:f>
        <x:v>46408</x:v>
      </x:c>
      <x:c r="F74" s="345" t="n">
        <x:f>IF('作業計画'!P74="","",'作業計画'!P74)</x:f>
        <x:v>46409</x:v>
      </x:c>
      <x:c r="G74" s="353" t="n">
        <x:f>'作業計画'!U74</x:f>
        <x:v>0</x:v>
      </x:c>
      <x:c r="H74" s="48" t="str">
        <x:f>'作業計画'!V74</x:f>
        <x:v>予定前</x:v>
      </x:c>
      <x:c r="I74" s="370" t="str">
        <x:f>IF(AND($E74&lt;&gt;"",$E74&lt;=I$5+6,$F74&gt;=I$5),"■","")</x:f>
      </x:c>
      <x:c r="J74" s="370" t="str">
        <x:f>IF(AND($E74&lt;&gt;"",$E74&lt;=J$5+6,$F74&gt;=J$5),"■","")</x:f>
      </x:c>
      <x:c r="K74" s="370" t="str">
        <x:f>IF(AND($E74&lt;&gt;"",$E74&lt;=K$5+6,$F74&gt;=K$5),"■","")</x:f>
      </x:c>
      <x:c r="L74" s="370" t="str">
        <x:f>IF(AND($E74&lt;&gt;"",$E74&lt;=L$5+6,$F74&gt;=L$5),"■","")</x:f>
      </x:c>
      <x:c r="M74" s="370" t="str">
        <x:f>IF(AND($E74&lt;&gt;"",$E74&lt;=M$5+6,$F74&gt;=M$5),"■","")</x:f>
      </x:c>
      <x:c r="N74" s="370" t="str">
        <x:f>IF(AND($E74&lt;&gt;"",$E74&lt;=N$5+6,$F74&gt;=N$5),"■","")</x:f>
      </x:c>
      <x:c r="O74" s="370" t="str">
        <x:f>IF(AND($E74&lt;&gt;"",$E74&lt;=O$5+6,$F74&gt;=O$5),"■","")</x:f>
      </x:c>
      <x:c r="P74" s="370" t="str">
        <x:f>IF(AND($E74&lt;&gt;"",$E74&lt;=P$5+6,$F74&gt;=P$5),"■","")</x:f>
      </x:c>
      <x:c r="Q74" s="370" t="str">
        <x:f>IF(AND($E74&lt;&gt;"",$E74&lt;=Q$5+6,$F74&gt;=Q$5),"■","")</x:f>
      </x:c>
      <x:c r="R74" s="370" t="str">
        <x:f>IF(AND($E74&lt;&gt;"",$E74&lt;=R$5+6,$F74&gt;=R$5),"■","")</x:f>
      </x:c>
      <x:c r="S74" s="370" t="str">
        <x:f>IF(AND($E74&lt;&gt;"",$E74&lt;=S$5+6,$F74&gt;=S$5),"■","")</x:f>
      </x:c>
      <x:c r="T74" s="370" t="str">
        <x:f>IF(AND($E74&lt;&gt;"",$E74&lt;=T$5+6,$F74&gt;=T$5),"■","")</x:f>
      </x:c>
      <x:c r="U74" s="370" t="str">
        <x:f>IF(AND($E74&lt;&gt;"",$E74&lt;=U$5+6,$F74&gt;=U$5),"■","")</x:f>
      </x:c>
      <x:c r="V74" s="370" t="str">
        <x:f>IF(AND($E74&lt;&gt;"",$E74&lt;=V$5+6,$F74&gt;=V$5),"■","")</x:f>
        <x:v>■</x:v>
      </x:c>
      <x:c r="W74" s="370" t="str">
        <x:f>IF(AND($E74&lt;&gt;"",$E74&lt;=W$5+6,$F74&gt;=W$5),"■","")</x:f>
      </x:c>
      <x:c r="X74" s="370" t="str">
        <x:f>IF(AND($E74&lt;&gt;"",$E74&lt;=X$5+6,$F74&gt;=X$5),"■","")</x:f>
      </x:c>
      <x:c r="Y74" s="370" t="str">
        <x:f>IF(AND($E74&lt;&gt;"",$E74&lt;=Y$5+6,$F74&gt;=Y$5),"■","")</x:f>
      </x:c>
      <x:c r="Z74" s="370" t="str">
        <x:f>IF(AND($E74&lt;&gt;"",$E74&lt;=Z$5+6,$F74&gt;=Z$5),"■","")</x:f>
      </x:c>
      <x:c r="AA74" s="370" t="str">
        <x:f>IF(AND($E74&lt;&gt;"",$E74&lt;=AA$5+6,$F74&gt;=AA$5),"■","")</x:f>
      </x:c>
      <x:c r="AB74" s="370" t="str">
        <x:f>IF(AND($E74&lt;&gt;"",$E74&lt;=AB$5+6,$F74&gt;=AB$5),"■","")</x:f>
      </x:c>
      <x:c r="AC74" s="370" t="str">
        <x:f>IF(AND($E74&lt;&gt;"",$E74&lt;=AC$5+6,$F74&gt;=AC$5),"■","")</x:f>
      </x:c>
      <x:c r="AD74" s="370" t="str">
        <x:f>IF(AND($E74&lt;&gt;"",$E74&lt;=AD$5+6,$F74&gt;=AD$5),"■","")</x:f>
      </x:c>
      <x:c r="AE74" s="370" t="str">
        <x:f>IF(AND($E74&lt;&gt;"",$E74&lt;=AE$5+6,$F74&gt;=AE$5),"■","")</x:f>
      </x:c>
      <x:c r="AF74" s="370" t="str">
        <x:f>IF(AND($E74&lt;&gt;"",$E74&lt;=AF$5+6,$F74&gt;=AF$5),"■","")</x:f>
      </x:c>
      <x:c r="AG74" s="370" t="str">
        <x:f>IF(AND($E74&lt;&gt;"",$E74&lt;=AG$5+6,$F74&gt;=AG$5),"■","")</x:f>
      </x:c>
      <x:c r="AH74" s="371" t="str">
        <x:f>IF(AND($E74&lt;&gt;"",$E74&lt;=AH$5+6,$F74&gt;=AH$5),"■","")</x:f>
      </x:c>
    </x:row>
    <x:row r="75" ht="38" customHeight="1">
      <x:c r="A75" s="466" t="str">
        <x:f>'作業計画'!A75</x:f>
        <x:v>00069</x:v>
      </x:c>
      <x:c r="B75" s="200" t="str">
        <x:f>'作業計画'!B75</x:f>
        <x:v>05.単体テスト</x:v>
      </x:c>
      <x:c r="C75" s="56" t="str">
        <x:f>'作業計画'!C75</x:f>
        <x:v>単体・結合の試験仕様・データ・判定基準作成</x:v>
      </x:c>
      <x:c r="D75" s="56" t="str">
        <x:f>'作業計画'!D75</x:f>
        <x:v>テスト担当（要確定）</x:v>
      </x:c>
      <x:c r="E75" s="346" t="n">
        <x:f>IF('作業計画'!O75="","",'作業計画'!O75)</x:f>
        <x:v>46364</x:v>
      </x:c>
      <x:c r="F75" s="346" t="n">
        <x:f>IF('作業計画'!P75="","",'作業計画'!P75)</x:f>
        <x:v>46366</x:v>
      </x:c>
      <x:c r="G75" s="354" t="n">
        <x:f>'作業計画'!U75</x:f>
        <x:v>0</x:v>
      </x:c>
      <x:c r="H75" s="56" t="str">
        <x:f>'作業計画'!V75</x:f>
        <x:v>予定前</x:v>
      </x:c>
      <x:c r="I75" s="372" t="str">
        <x:f>IF(AND($E75&lt;&gt;"",$E75&lt;=I$5+6,$F75&gt;=I$5),"■","")</x:f>
      </x:c>
      <x:c r="J75" s="372" t="str">
        <x:f>IF(AND($E75&lt;&gt;"",$E75&lt;=J$5+6,$F75&gt;=J$5),"■","")</x:f>
      </x:c>
      <x:c r="K75" s="372" t="str">
        <x:f>IF(AND($E75&lt;&gt;"",$E75&lt;=K$5+6,$F75&gt;=K$5),"■","")</x:f>
      </x:c>
      <x:c r="L75" s="372" t="str">
        <x:f>IF(AND($E75&lt;&gt;"",$E75&lt;=L$5+6,$F75&gt;=L$5),"■","")</x:f>
      </x:c>
      <x:c r="M75" s="372" t="str">
        <x:f>IF(AND($E75&lt;&gt;"",$E75&lt;=M$5+6,$F75&gt;=M$5),"■","")</x:f>
      </x:c>
      <x:c r="N75" s="372" t="str">
        <x:f>IF(AND($E75&lt;&gt;"",$E75&lt;=N$5+6,$F75&gt;=N$5),"■","")</x:f>
      </x:c>
      <x:c r="O75" s="372" t="str">
        <x:f>IF(AND($E75&lt;&gt;"",$E75&lt;=O$5+6,$F75&gt;=O$5),"■","")</x:f>
      </x:c>
      <x:c r="P75" s="372" t="str">
        <x:f>IF(AND($E75&lt;&gt;"",$E75&lt;=P$5+6,$F75&gt;=P$5),"■","")</x:f>
        <x:v>■</x:v>
      </x:c>
      <x:c r="Q75" s="372" t="str">
        <x:f>IF(AND($E75&lt;&gt;"",$E75&lt;=Q$5+6,$F75&gt;=Q$5),"■","")</x:f>
      </x:c>
      <x:c r="R75" s="372" t="str">
        <x:f>IF(AND($E75&lt;&gt;"",$E75&lt;=R$5+6,$F75&gt;=R$5),"■","")</x:f>
      </x:c>
      <x:c r="S75" s="372" t="str">
        <x:f>IF(AND($E75&lt;&gt;"",$E75&lt;=S$5+6,$F75&gt;=S$5),"■","")</x:f>
      </x:c>
      <x:c r="T75" s="372" t="str">
        <x:f>IF(AND($E75&lt;&gt;"",$E75&lt;=T$5+6,$F75&gt;=T$5),"■","")</x:f>
      </x:c>
      <x:c r="U75" s="372" t="str">
        <x:f>IF(AND($E75&lt;&gt;"",$E75&lt;=U$5+6,$F75&gt;=U$5),"■","")</x:f>
      </x:c>
      <x:c r="V75" s="372" t="str">
        <x:f>IF(AND($E75&lt;&gt;"",$E75&lt;=V$5+6,$F75&gt;=V$5),"■","")</x:f>
      </x:c>
      <x:c r="W75" s="372" t="str">
        <x:f>IF(AND($E75&lt;&gt;"",$E75&lt;=W$5+6,$F75&gt;=W$5),"■","")</x:f>
      </x:c>
      <x:c r="X75" s="372" t="str">
        <x:f>IF(AND($E75&lt;&gt;"",$E75&lt;=X$5+6,$F75&gt;=X$5),"■","")</x:f>
      </x:c>
      <x:c r="Y75" s="372" t="str">
        <x:f>IF(AND($E75&lt;&gt;"",$E75&lt;=Y$5+6,$F75&gt;=Y$5),"■","")</x:f>
      </x:c>
      <x:c r="Z75" s="372" t="str">
        <x:f>IF(AND($E75&lt;&gt;"",$E75&lt;=Z$5+6,$F75&gt;=Z$5),"■","")</x:f>
      </x:c>
      <x:c r="AA75" s="372" t="str">
        <x:f>IF(AND($E75&lt;&gt;"",$E75&lt;=AA$5+6,$F75&gt;=AA$5),"■","")</x:f>
      </x:c>
      <x:c r="AB75" s="372" t="str">
        <x:f>IF(AND($E75&lt;&gt;"",$E75&lt;=AB$5+6,$F75&gt;=AB$5),"■","")</x:f>
      </x:c>
      <x:c r="AC75" s="372" t="str">
        <x:f>IF(AND($E75&lt;&gt;"",$E75&lt;=AC$5+6,$F75&gt;=AC$5),"■","")</x:f>
      </x:c>
      <x:c r="AD75" s="372" t="str">
        <x:f>IF(AND($E75&lt;&gt;"",$E75&lt;=AD$5+6,$F75&gt;=AD$5),"■","")</x:f>
      </x:c>
      <x:c r="AE75" s="372" t="str">
        <x:f>IF(AND($E75&lt;&gt;"",$E75&lt;=AE$5+6,$F75&gt;=AE$5),"■","")</x:f>
      </x:c>
      <x:c r="AF75" s="372" t="str">
        <x:f>IF(AND($E75&lt;&gt;"",$E75&lt;=AF$5+6,$F75&gt;=AF$5),"■","")</x:f>
      </x:c>
      <x:c r="AG75" s="372" t="str">
        <x:f>IF(AND($E75&lt;&gt;"",$E75&lt;=AG$5+6,$F75&gt;=AG$5),"■","")</x:f>
      </x:c>
      <x:c r="AH75" s="373" t="str">
        <x:f>IF(AND($E75&lt;&gt;"",$E75&lt;=AH$5+6,$F75&gt;=AH$5),"■","")</x:f>
      </x:c>
    </x:row>
    <x:row r="76" ht="38" customHeight="1">
      <x:c r="A76" s="465" t="str">
        <x:f>'作業計画'!A76</x:f>
        <x:v>00070</x:v>
      </x:c>
      <x:c r="B76" s="200" t="str">
        <x:f>'作業計画'!B76</x:f>
        <x:v>05.単体テスト</x:v>
      </x:c>
      <x:c r="C76" s="48" t="str">
        <x:f>'作業計画'!C76</x:f>
        <x:v>BronzeLakehouse：追加テーブル単体テスト</x:v>
      </x:c>
      <x:c r="D76" s="48" t="str">
        <x:f>'作業計画'!D76</x:f>
        <x:v>テスト担当（要確定）</x:v>
      </x:c>
      <x:c r="E76" s="345" t="n">
        <x:f>IF('作業計画'!O76="","",'作業計画'!O76)</x:f>
        <x:v>46367</x:v>
      </x:c>
      <x:c r="F76" s="345" t="n">
        <x:f>IF('作業計画'!P76="","",'作業計画'!P76)</x:f>
        <x:v>46371</x:v>
      </x:c>
      <x:c r="G76" s="353" t="n">
        <x:f>'作業計画'!U76</x:f>
        <x:v>0</x:v>
      </x:c>
      <x:c r="H76" s="48" t="str">
        <x:f>'作業計画'!V76</x:f>
        <x:v>予定前</x:v>
      </x:c>
      <x:c r="I76" s="370" t="str">
        <x:f>IF(AND($E76&lt;&gt;"",$E76&lt;=I$5+6,$F76&gt;=I$5),"■","")</x:f>
      </x:c>
      <x:c r="J76" s="370" t="str">
        <x:f>IF(AND($E76&lt;&gt;"",$E76&lt;=J$5+6,$F76&gt;=J$5),"■","")</x:f>
      </x:c>
      <x:c r="K76" s="370" t="str">
        <x:f>IF(AND($E76&lt;&gt;"",$E76&lt;=K$5+6,$F76&gt;=K$5),"■","")</x:f>
      </x:c>
      <x:c r="L76" s="370" t="str">
        <x:f>IF(AND($E76&lt;&gt;"",$E76&lt;=L$5+6,$F76&gt;=L$5),"■","")</x:f>
      </x:c>
      <x:c r="M76" s="370" t="str">
        <x:f>IF(AND($E76&lt;&gt;"",$E76&lt;=M$5+6,$F76&gt;=M$5),"■","")</x:f>
      </x:c>
      <x:c r="N76" s="370" t="str">
        <x:f>IF(AND($E76&lt;&gt;"",$E76&lt;=N$5+6,$F76&gt;=N$5),"■","")</x:f>
      </x:c>
      <x:c r="O76" s="370" t="str">
        <x:f>IF(AND($E76&lt;&gt;"",$E76&lt;=O$5+6,$F76&gt;=O$5),"■","")</x:f>
      </x:c>
      <x:c r="P76" s="370" t="str">
        <x:f>IF(AND($E76&lt;&gt;"",$E76&lt;=P$5+6,$F76&gt;=P$5),"■","")</x:f>
        <x:v>■</x:v>
      </x:c>
      <x:c r="Q76" s="370" t="str">
        <x:f>IF(AND($E76&lt;&gt;"",$E76&lt;=Q$5+6,$F76&gt;=Q$5),"■","")</x:f>
        <x:v>■</x:v>
      </x:c>
      <x:c r="R76" s="370" t="str">
        <x:f>IF(AND($E76&lt;&gt;"",$E76&lt;=R$5+6,$F76&gt;=R$5),"■","")</x:f>
      </x:c>
      <x:c r="S76" s="370" t="str">
        <x:f>IF(AND($E76&lt;&gt;"",$E76&lt;=S$5+6,$F76&gt;=S$5),"■","")</x:f>
      </x:c>
      <x:c r="T76" s="370" t="str">
        <x:f>IF(AND($E76&lt;&gt;"",$E76&lt;=T$5+6,$F76&gt;=T$5),"■","")</x:f>
      </x:c>
      <x:c r="U76" s="370" t="str">
        <x:f>IF(AND($E76&lt;&gt;"",$E76&lt;=U$5+6,$F76&gt;=U$5),"■","")</x:f>
      </x:c>
      <x:c r="V76" s="370" t="str">
        <x:f>IF(AND($E76&lt;&gt;"",$E76&lt;=V$5+6,$F76&gt;=V$5),"■","")</x:f>
      </x:c>
      <x:c r="W76" s="370" t="str">
        <x:f>IF(AND($E76&lt;&gt;"",$E76&lt;=W$5+6,$F76&gt;=W$5),"■","")</x:f>
      </x:c>
      <x:c r="X76" s="370" t="str">
        <x:f>IF(AND($E76&lt;&gt;"",$E76&lt;=X$5+6,$F76&gt;=X$5),"■","")</x:f>
      </x:c>
      <x:c r="Y76" s="370" t="str">
        <x:f>IF(AND($E76&lt;&gt;"",$E76&lt;=Y$5+6,$F76&gt;=Y$5),"■","")</x:f>
      </x:c>
      <x:c r="Z76" s="370" t="str">
        <x:f>IF(AND($E76&lt;&gt;"",$E76&lt;=Z$5+6,$F76&gt;=Z$5),"■","")</x:f>
      </x:c>
      <x:c r="AA76" s="370" t="str">
        <x:f>IF(AND($E76&lt;&gt;"",$E76&lt;=AA$5+6,$F76&gt;=AA$5),"■","")</x:f>
      </x:c>
      <x:c r="AB76" s="370" t="str">
        <x:f>IF(AND($E76&lt;&gt;"",$E76&lt;=AB$5+6,$F76&gt;=AB$5),"■","")</x:f>
      </x:c>
      <x:c r="AC76" s="370" t="str">
        <x:f>IF(AND($E76&lt;&gt;"",$E76&lt;=AC$5+6,$F76&gt;=AC$5),"■","")</x:f>
      </x:c>
      <x:c r="AD76" s="370" t="str">
        <x:f>IF(AND($E76&lt;&gt;"",$E76&lt;=AD$5+6,$F76&gt;=AD$5),"■","")</x:f>
      </x:c>
      <x:c r="AE76" s="370" t="str">
        <x:f>IF(AND($E76&lt;&gt;"",$E76&lt;=AE$5+6,$F76&gt;=AE$5),"■","")</x:f>
      </x:c>
      <x:c r="AF76" s="370" t="str">
        <x:f>IF(AND($E76&lt;&gt;"",$E76&lt;=AF$5+6,$F76&gt;=AF$5),"■","")</x:f>
      </x:c>
      <x:c r="AG76" s="370" t="str">
        <x:f>IF(AND($E76&lt;&gt;"",$E76&lt;=AG$5+6,$F76&gt;=AG$5),"■","")</x:f>
      </x:c>
      <x:c r="AH76" s="371" t="str">
        <x:f>IF(AND($E76&lt;&gt;"",$E76&lt;=AH$5+6,$F76&gt;=AH$5),"■","")</x:f>
      </x:c>
    </x:row>
    <x:row r="77" ht="38" customHeight="1">
      <x:c r="A77" s="466" t="str">
        <x:f>'作業計画'!A77</x:f>
        <x:v>00071</x:v>
      </x:c>
      <x:c r="B77" s="200" t="str">
        <x:f>'作業計画'!B77</x:f>
        <x:v>05.単体テスト</x:v>
      </x:c>
      <x:c r="C77" s="56" t="str">
        <x:f>'作業計画'!C77</x:f>
        <x:v>SilverLakehouse：追加テーブル単体テスト</x:v>
      </x:c>
      <x:c r="D77" s="56" t="str">
        <x:f>'作業計画'!D77</x:f>
        <x:v>テスト担当（要確定）</x:v>
      </x:c>
      <x:c r="E77" s="346" t="n">
        <x:f>IF('作業計画'!O77="","",'作業計画'!O77)</x:f>
        <x:v>46372</x:v>
      </x:c>
      <x:c r="F77" s="346" t="n">
        <x:f>IF('作業計画'!P77="","",'作業計画'!P77)</x:f>
        <x:v>46374</x:v>
      </x:c>
      <x:c r="G77" s="354" t="n">
        <x:f>'作業計画'!U77</x:f>
        <x:v>0</x:v>
      </x:c>
      <x:c r="H77" s="56" t="str">
        <x:f>'作業計画'!V77</x:f>
        <x:v>予定前</x:v>
      </x:c>
      <x:c r="I77" s="372" t="str">
        <x:f>IF(AND($E77&lt;&gt;"",$E77&lt;=I$5+6,$F77&gt;=I$5),"■","")</x:f>
      </x:c>
      <x:c r="J77" s="372" t="str">
        <x:f>IF(AND($E77&lt;&gt;"",$E77&lt;=J$5+6,$F77&gt;=J$5),"■","")</x:f>
      </x:c>
      <x:c r="K77" s="372" t="str">
        <x:f>IF(AND($E77&lt;&gt;"",$E77&lt;=K$5+6,$F77&gt;=K$5),"■","")</x:f>
      </x:c>
      <x:c r="L77" s="372" t="str">
        <x:f>IF(AND($E77&lt;&gt;"",$E77&lt;=L$5+6,$F77&gt;=L$5),"■","")</x:f>
      </x:c>
      <x:c r="M77" s="372" t="str">
        <x:f>IF(AND($E77&lt;&gt;"",$E77&lt;=M$5+6,$F77&gt;=M$5),"■","")</x:f>
      </x:c>
      <x:c r="N77" s="372" t="str">
        <x:f>IF(AND($E77&lt;&gt;"",$E77&lt;=N$5+6,$F77&gt;=N$5),"■","")</x:f>
      </x:c>
      <x:c r="O77" s="372" t="str">
        <x:f>IF(AND($E77&lt;&gt;"",$E77&lt;=O$5+6,$F77&gt;=O$5),"■","")</x:f>
      </x:c>
      <x:c r="P77" s="372" t="str">
        <x:f>IF(AND($E77&lt;&gt;"",$E77&lt;=P$5+6,$F77&gt;=P$5),"■","")</x:f>
      </x:c>
      <x:c r="Q77" s="372" t="str">
        <x:f>IF(AND($E77&lt;&gt;"",$E77&lt;=Q$5+6,$F77&gt;=Q$5),"■","")</x:f>
        <x:v>■</x:v>
      </x:c>
      <x:c r="R77" s="372" t="str">
        <x:f>IF(AND($E77&lt;&gt;"",$E77&lt;=R$5+6,$F77&gt;=R$5),"■","")</x:f>
      </x:c>
      <x:c r="S77" s="372" t="str">
        <x:f>IF(AND($E77&lt;&gt;"",$E77&lt;=S$5+6,$F77&gt;=S$5),"■","")</x:f>
      </x:c>
      <x:c r="T77" s="372" t="str">
        <x:f>IF(AND($E77&lt;&gt;"",$E77&lt;=T$5+6,$F77&gt;=T$5),"■","")</x:f>
      </x:c>
      <x:c r="U77" s="372" t="str">
        <x:f>IF(AND($E77&lt;&gt;"",$E77&lt;=U$5+6,$F77&gt;=U$5),"■","")</x:f>
      </x:c>
      <x:c r="V77" s="372" t="str">
        <x:f>IF(AND($E77&lt;&gt;"",$E77&lt;=V$5+6,$F77&gt;=V$5),"■","")</x:f>
      </x:c>
      <x:c r="W77" s="372" t="str">
        <x:f>IF(AND($E77&lt;&gt;"",$E77&lt;=W$5+6,$F77&gt;=W$5),"■","")</x:f>
      </x:c>
      <x:c r="X77" s="372" t="str">
        <x:f>IF(AND($E77&lt;&gt;"",$E77&lt;=X$5+6,$F77&gt;=X$5),"■","")</x:f>
      </x:c>
      <x:c r="Y77" s="372" t="str">
        <x:f>IF(AND($E77&lt;&gt;"",$E77&lt;=Y$5+6,$F77&gt;=Y$5),"■","")</x:f>
      </x:c>
      <x:c r="Z77" s="372" t="str">
        <x:f>IF(AND($E77&lt;&gt;"",$E77&lt;=Z$5+6,$F77&gt;=Z$5),"■","")</x:f>
      </x:c>
      <x:c r="AA77" s="372" t="str">
        <x:f>IF(AND($E77&lt;&gt;"",$E77&lt;=AA$5+6,$F77&gt;=AA$5),"■","")</x:f>
      </x:c>
      <x:c r="AB77" s="372" t="str">
        <x:f>IF(AND($E77&lt;&gt;"",$E77&lt;=AB$5+6,$F77&gt;=AB$5),"■","")</x:f>
      </x:c>
      <x:c r="AC77" s="372" t="str">
        <x:f>IF(AND($E77&lt;&gt;"",$E77&lt;=AC$5+6,$F77&gt;=AC$5),"■","")</x:f>
      </x:c>
      <x:c r="AD77" s="372" t="str">
        <x:f>IF(AND($E77&lt;&gt;"",$E77&lt;=AD$5+6,$F77&gt;=AD$5),"■","")</x:f>
      </x:c>
      <x:c r="AE77" s="372" t="str">
        <x:f>IF(AND($E77&lt;&gt;"",$E77&lt;=AE$5+6,$F77&gt;=AE$5),"■","")</x:f>
      </x:c>
      <x:c r="AF77" s="372" t="str">
        <x:f>IF(AND($E77&lt;&gt;"",$E77&lt;=AF$5+6,$F77&gt;=AF$5),"■","")</x:f>
      </x:c>
      <x:c r="AG77" s="372" t="str">
        <x:f>IF(AND($E77&lt;&gt;"",$E77&lt;=AG$5+6,$F77&gt;=AG$5),"■","")</x:f>
      </x:c>
      <x:c r="AH77" s="373" t="str">
        <x:f>IF(AND($E77&lt;&gt;"",$E77&lt;=AH$5+6,$F77&gt;=AH$5),"■","")</x:f>
      </x:c>
    </x:row>
    <x:row r="78" ht="38" customHeight="1">
      <x:c r="A78" s="465" t="str">
        <x:f>'作業計画'!A78</x:f>
        <x:v>00072</x:v>
      </x:c>
      <x:c r="B78" s="200" t="str">
        <x:f>'作業計画'!B78</x:f>
        <x:v>05.単体テスト</x:v>
      </x:c>
      <x:c r="C78" s="48" t="str">
        <x:f>'作業計画'!C78</x:f>
        <x:v>SQL共通Function：正常・境界・NULLの単体テスト</x:v>
      </x:c>
      <x:c r="D78" s="48" t="str">
        <x:f>'作業計画'!D78</x:f>
        <x:v>テスト担当（要確定）</x:v>
      </x:c>
      <x:c r="E78" s="345" t="n">
        <x:f>IF('作業計画'!O78="","",'作業計画'!O78)</x:f>
        <x:v>46379</x:v>
      </x:c>
      <x:c r="F78" s="345" t="n">
        <x:f>IF('作業計画'!P78="","",'作業計画'!P78)</x:f>
        <x:v>46380</x:v>
      </x:c>
      <x:c r="G78" s="353" t="n">
        <x:f>'作業計画'!U78</x:f>
        <x:v>0</x:v>
      </x:c>
      <x:c r="H78" s="48" t="str">
        <x:f>'作業計画'!V78</x:f>
        <x:v>予定前</x:v>
      </x:c>
      <x:c r="I78" s="370" t="str">
        <x:f>IF(AND($E78&lt;&gt;"",$E78&lt;=I$5+6,$F78&gt;=I$5),"■","")</x:f>
      </x:c>
      <x:c r="J78" s="370" t="str">
        <x:f>IF(AND($E78&lt;&gt;"",$E78&lt;=J$5+6,$F78&gt;=J$5),"■","")</x:f>
      </x:c>
      <x:c r="K78" s="370" t="str">
        <x:f>IF(AND($E78&lt;&gt;"",$E78&lt;=K$5+6,$F78&gt;=K$5),"■","")</x:f>
      </x:c>
      <x:c r="L78" s="370" t="str">
        <x:f>IF(AND($E78&lt;&gt;"",$E78&lt;=L$5+6,$F78&gt;=L$5),"■","")</x:f>
      </x:c>
      <x:c r="M78" s="370" t="str">
        <x:f>IF(AND($E78&lt;&gt;"",$E78&lt;=M$5+6,$F78&gt;=M$5),"■","")</x:f>
      </x:c>
      <x:c r="N78" s="370" t="str">
        <x:f>IF(AND($E78&lt;&gt;"",$E78&lt;=N$5+6,$F78&gt;=N$5),"■","")</x:f>
      </x:c>
      <x:c r="O78" s="370" t="str">
        <x:f>IF(AND($E78&lt;&gt;"",$E78&lt;=O$5+6,$F78&gt;=O$5),"■","")</x:f>
      </x:c>
      <x:c r="P78" s="370" t="str">
        <x:f>IF(AND($E78&lt;&gt;"",$E78&lt;=P$5+6,$F78&gt;=P$5),"■","")</x:f>
      </x:c>
      <x:c r="Q78" s="370" t="str">
        <x:f>IF(AND($E78&lt;&gt;"",$E78&lt;=Q$5+6,$F78&gt;=Q$5),"■","")</x:f>
      </x:c>
      <x:c r="R78" s="370" t="str">
        <x:f>IF(AND($E78&lt;&gt;"",$E78&lt;=R$5+6,$F78&gt;=R$5),"■","")</x:f>
        <x:v>■</x:v>
      </x:c>
      <x:c r="S78" s="370" t="str">
        <x:f>IF(AND($E78&lt;&gt;"",$E78&lt;=S$5+6,$F78&gt;=S$5),"■","")</x:f>
      </x:c>
      <x:c r="T78" s="370" t="str">
        <x:f>IF(AND($E78&lt;&gt;"",$E78&lt;=T$5+6,$F78&gt;=T$5),"■","")</x:f>
      </x:c>
      <x:c r="U78" s="370" t="str">
        <x:f>IF(AND($E78&lt;&gt;"",$E78&lt;=U$5+6,$F78&gt;=U$5),"■","")</x:f>
      </x:c>
      <x:c r="V78" s="370" t="str">
        <x:f>IF(AND($E78&lt;&gt;"",$E78&lt;=V$5+6,$F78&gt;=V$5),"■","")</x:f>
      </x:c>
      <x:c r="W78" s="370" t="str">
        <x:f>IF(AND($E78&lt;&gt;"",$E78&lt;=W$5+6,$F78&gt;=W$5),"■","")</x:f>
      </x:c>
      <x:c r="X78" s="370" t="str">
        <x:f>IF(AND($E78&lt;&gt;"",$E78&lt;=X$5+6,$F78&gt;=X$5),"■","")</x:f>
      </x:c>
      <x:c r="Y78" s="370" t="str">
        <x:f>IF(AND($E78&lt;&gt;"",$E78&lt;=Y$5+6,$F78&gt;=Y$5),"■","")</x:f>
      </x:c>
      <x:c r="Z78" s="370" t="str">
        <x:f>IF(AND($E78&lt;&gt;"",$E78&lt;=Z$5+6,$F78&gt;=Z$5),"■","")</x:f>
      </x:c>
      <x:c r="AA78" s="370" t="str">
        <x:f>IF(AND($E78&lt;&gt;"",$E78&lt;=AA$5+6,$F78&gt;=AA$5),"■","")</x:f>
      </x:c>
      <x:c r="AB78" s="370" t="str">
        <x:f>IF(AND($E78&lt;&gt;"",$E78&lt;=AB$5+6,$F78&gt;=AB$5),"■","")</x:f>
      </x:c>
      <x:c r="AC78" s="370" t="str">
        <x:f>IF(AND($E78&lt;&gt;"",$E78&lt;=AC$5+6,$F78&gt;=AC$5),"■","")</x:f>
      </x:c>
      <x:c r="AD78" s="370" t="str">
        <x:f>IF(AND($E78&lt;&gt;"",$E78&lt;=AD$5+6,$F78&gt;=AD$5),"■","")</x:f>
      </x:c>
      <x:c r="AE78" s="370" t="str">
        <x:f>IF(AND($E78&lt;&gt;"",$E78&lt;=AE$5+6,$F78&gt;=AE$5),"■","")</x:f>
      </x:c>
      <x:c r="AF78" s="370" t="str">
        <x:f>IF(AND($E78&lt;&gt;"",$E78&lt;=AF$5+6,$F78&gt;=AF$5),"■","")</x:f>
      </x:c>
      <x:c r="AG78" s="370" t="str">
        <x:f>IF(AND($E78&lt;&gt;"",$E78&lt;=AG$5+6,$F78&gt;=AG$5),"■","")</x:f>
      </x:c>
      <x:c r="AH78" s="371" t="str">
        <x:f>IF(AND($E78&lt;&gt;"",$E78&lt;=AH$5+6,$F78&gt;=AH$5),"■","")</x:f>
      </x:c>
    </x:row>
    <x:row r="79" ht="38" customHeight="1">
      <x:c r="A79" s="466" t="str">
        <x:f>'作業計画'!A79</x:f>
        <x:v>00073</x:v>
      </x:c>
      <x:c r="B79" s="200" t="str">
        <x:f>'作業計画'!B79</x:f>
        <x:v>05.単体テスト</x:v>
      </x:c>
      <x:c r="C79" s="56" t="str">
        <x:f>'作業計画'!C79</x:f>
        <x:v>共通Notebook：参照呼出し・文字列加工テスト</x:v>
      </x:c>
      <x:c r="D79" s="56" t="str">
        <x:f>'作業計画'!D79</x:f>
        <x:v>テスト担当（要確定）</x:v>
      </x:c>
      <x:c r="E79" s="346" t="n">
        <x:f>IF('作業計画'!O79="","",'作業計画'!O79)</x:f>
        <x:v>46379</x:v>
      </x:c>
      <x:c r="F79" s="346" t="n">
        <x:f>IF('作業計画'!P79="","",'作業計画'!P79)</x:f>
        <x:v>46380</x:v>
      </x:c>
      <x:c r="G79" s="354" t="n">
        <x:f>'作業計画'!U79</x:f>
        <x:v>0</x:v>
      </x:c>
      <x:c r="H79" s="56" t="str">
        <x:f>'作業計画'!V79</x:f>
        <x:v>予定前</x:v>
      </x:c>
      <x:c r="I79" s="372" t="str">
        <x:f>IF(AND($E79&lt;&gt;"",$E79&lt;=I$5+6,$F79&gt;=I$5),"■","")</x:f>
      </x:c>
      <x:c r="J79" s="372" t="str">
        <x:f>IF(AND($E79&lt;&gt;"",$E79&lt;=J$5+6,$F79&gt;=J$5),"■","")</x:f>
      </x:c>
      <x:c r="K79" s="372" t="str">
        <x:f>IF(AND($E79&lt;&gt;"",$E79&lt;=K$5+6,$F79&gt;=K$5),"■","")</x:f>
      </x:c>
      <x:c r="L79" s="372" t="str">
        <x:f>IF(AND($E79&lt;&gt;"",$E79&lt;=L$5+6,$F79&gt;=L$5),"■","")</x:f>
      </x:c>
      <x:c r="M79" s="372" t="str">
        <x:f>IF(AND($E79&lt;&gt;"",$E79&lt;=M$5+6,$F79&gt;=M$5),"■","")</x:f>
      </x:c>
      <x:c r="N79" s="372" t="str">
        <x:f>IF(AND($E79&lt;&gt;"",$E79&lt;=N$5+6,$F79&gt;=N$5),"■","")</x:f>
      </x:c>
      <x:c r="O79" s="372" t="str">
        <x:f>IF(AND($E79&lt;&gt;"",$E79&lt;=O$5+6,$F79&gt;=O$5),"■","")</x:f>
      </x:c>
      <x:c r="P79" s="372" t="str">
        <x:f>IF(AND($E79&lt;&gt;"",$E79&lt;=P$5+6,$F79&gt;=P$5),"■","")</x:f>
      </x:c>
      <x:c r="Q79" s="372" t="str">
        <x:f>IF(AND($E79&lt;&gt;"",$E79&lt;=Q$5+6,$F79&gt;=Q$5),"■","")</x:f>
      </x:c>
      <x:c r="R79" s="372" t="str">
        <x:f>IF(AND($E79&lt;&gt;"",$E79&lt;=R$5+6,$F79&gt;=R$5),"■","")</x:f>
        <x:v>■</x:v>
      </x:c>
      <x:c r="S79" s="372" t="str">
        <x:f>IF(AND($E79&lt;&gt;"",$E79&lt;=S$5+6,$F79&gt;=S$5),"■","")</x:f>
      </x:c>
      <x:c r="T79" s="372" t="str">
        <x:f>IF(AND($E79&lt;&gt;"",$E79&lt;=T$5+6,$F79&gt;=T$5),"■","")</x:f>
      </x:c>
      <x:c r="U79" s="372" t="str">
        <x:f>IF(AND($E79&lt;&gt;"",$E79&lt;=U$5+6,$F79&gt;=U$5),"■","")</x:f>
      </x:c>
      <x:c r="V79" s="372" t="str">
        <x:f>IF(AND($E79&lt;&gt;"",$E79&lt;=V$5+6,$F79&gt;=V$5),"■","")</x:f>
      </x:c>
      <x:c r="W79" s="372" t="str">
        <x:f>IF(AND($E79&lt;&gt;"",$E79&lt;=W$5+6,$F79&gt;=W$5),"■","")</x:f>
      </x:c>
      <x:c r="X79" s="372" t="str">
        <x:f>IF(AND($E79&lt;&gt;"",$E79&lt;=X$5+6,$F79&gt;=X$5),"■","")</x:f>
      </x:c>
      <x:c r="Y79" s="372" t="str">
        <x:f>IF(AND($E79&lt;&gt;"",$E79&lt;=Y$5+6,$F79&gt;=Y$5),"■","")</x:f>
      </x:c>
      <x:c r="Z79" s="372" t="str">
        <x:f>IF(AND($E79&lt;&gt;"",$E79&lt;=Z$5+6,$F79&gt;=Z$5),"■","")</x:f>
      </x:c>
      <x:c r="AA79" s="372" t="str">
        <x:f>IF(AND($E79&lt;&gt;"",$E79&lt;=AA$5+6,$F79&gt;=AA$5),"■","")</x:f>
      </x:c>
      <x:c r="AB79" s="372" t="str">
        <x:f>IF(AND($E79&lt;&gt;"",$E79&lt;=AB$5+6,$F79&gt;=AB$5),"■","")</x:f>
      </x:c>
      <x:c r="AC79" s="372" t="str">
        <x:f>IF(AND($E79&lt;&gt;"",$E79&lt;=AC$5+6,$F79&gt;=AC$5),"■","")</x:f>
      </x:c>
      <x:c r="AD79" s="372" t="str">
        <x:f>IF(AND($E79&lt;&gt;"",$E79&lt;=AD$5+6,$F79&gt;=AD$5),"■","")</x:f>
      </x:c>
      <x:c r="AE79" s="372" t="str">
        <x:f>IF(AND($E79&lt;&gt;"",$E79&lt;=AE$5+6,$F79&gt;=AE$5),"■","")</x:f>
      </x:c>
      <x:c r="AF79" s="372" t="str">
        <x:f>IF(AND($E79&lt;&gt;"",$E79&lt;=AF$5+6,$F79&gt;=AF$5),"■","")</x:f>
      </x:c>
      <x:c r="AG79" s="372" t="str">
        <x:f>IF(AND($E79&lt;&gt;"",$E79&lt;=AG$5+6,$F79&gt;=AG$5),"■","")</x:f>
      </x:c>
      <x:c r="AH79" s="373" t="str">
        <x:f>IF(AND($E79&lt;&gt;"",$E79&lt;=AH$5+6,$F79&gt;=AH$5),"■","")</x:f>
      </x:c>
    </x:row>
    <x:row r="80" ht="38" customHeight="1">
      <x:c r="A80" s="465" t="str">
        <x:f>'作業計画'!A80</x:f>
        <x:v>00074</x:v>
      </x:c>
      <x:c r="B80" s="200" t="str">
        <x:f>'作業計画'!B80</x:f>
        <x:v>05.単体テスト</x:v>
      </x:c>
      <x:c r="C80" s="48" t="str">
        <x:f>'作業計画'!C80</x:f>
        <x:v>差分Notebook：初回・増分・再実行テスト</x:v>
      </x:c>
      <x:c r="D80" s="48" t="str">
        <x:f>'作業計画'!D80</x:f>
        <x:v>テスト担当（要確定）</x:v>
      </x:c>
      <x:c r="E80" s="345" t="n">
        <x:f>IF('作業計画'!O80="","",'作業計画'!O80)</x:f>
        <x:v>46385</x:v>
      </x:c>
      <x:c r="F80" s="345" t="n">
        <x:f>IF('作業計画'!P80="","",'作業計画'!P80)</x:f>
        <x:v>46386</x:v>
      </x:c>
      <x:c r="G80" s="353" t="n">
        <x:f>'作業計画'!U80</x:f>
        <x:v>0</x:v>
      </x:c>
      <x:c r="H80" s="48" t="str">
        <x:f>'作業計画'!V80</x:f>
        <x:v>予定前</x:v>
      </x:c>
      <x:c r="I80" s="370" t="str">
        <x:f>IF(AND($E80&lt;&gt;"",$E80&lt;=I$5+6,$F80&gt;=I$5),"■","")</x:f>
      </x:c>
      <x:c r="J80" s="370" t="str">
        <x:f>IF(AND($E80&lt;&gt;"",$E80&lt;=J$5+6,$F80&gt;=J$5),"■","")</x:f>
      </x:c>
      <x:c r="K80" s="370" t="str">
        <x:f>IF(AND($E80&lt;&gt;"",$E80&lt;=K$5+6,$F80&gt;=K$5),"■","")</x:f>
      </x:c>
      <x:c r="L80" s="370" t="str">
        <x:f>IF(AND($E80&lt;&gt;"",$E80&lt;=L$5+6,$F80&gt;=L$5),"■","")</x:f>
      </x:c>
      <x:c r="M80" s="370" t="str">
        <x:f>IF(AND($E80&lt;&gt;"",$E80&lt;=M$5+6,$F80&gt;=M$5),"■","")</x:f>
      </x:c>
      <x:c r="N80" s="370" t="str">
        <x:f>IF(AND($E80&lt;&gt;"",$E80&lt;=N$5+6,$F80&gt;=N$5),"■","")</x:f>
      </x:c>
      <x:c r="O80" s="370" t="str">
        <x:f>IF(AND($E80&lt;&gt;"",$E80&lt;=O$5+6,$F80&gt;=O$5),"■","")</x:f>
      </x:c>
      <x:c r="P80" s="370" t="str">
        <x:f>IF(AND($E80&lt;&gt;"",$E80&lt;=P$5+6,$F80&gt;=P$5),"■","")</x:f>
      </x:c>
      <x:c r="Q80" s="370" t="str">
        <x:f>IF(AND($E80&lt;&gt;"",$E80&lt;=Q$5+6,$F80&gt;=Q$5),"■","")</x:f>
      </x:c>
      <x:c r="R80" s="370" t="str">
        <x:f>IF(AND($E80&lt;&gt;"",$E80&lt;=R$5+6,$F80&gt;=R$5),"■","")</x:f>
      </x:c>
      <x:c r="S80" s="370" t="str">
        <x:f>IF(AND($E80&lt;&gt;"",$E80&lt;=S$5+6,$F80&gt;=S$5),"■","")</x:f>
        <x:v>■</x:v>
      </x:c>
      <x:c r="T80" s="370" t="str">
        <x:f>IF(AND($E80&lt;&gt;"",$E80&lt;=T$5+6,$F80&gt;=T$5),"■","")</x:f>
      </x:c>
      <x:c r="U80" s="370" t="str">
        <x:f>IF(AND($E80&lt;&gt;"",$E80&lt;=U$5+6,$F80&gt;=U$5),"■","")</x:f>
      </x:c>
      <x:c r="V80" s="370" t="str">
        <x:f>IF(AND($E80&lt;&gt;"",$E80&lt;=V$5+6,$F80&gt;=V$5),"■","")</x:f>
      </x:c>
      <x:c r="W80" s="370" t="str">
        <x:f>IF(AND($E80&lt;&gt;"",$E80&lt;=W$5+6,$F80&gt;=W$5),"■","")</x:f>
      </x:c>
      <x:c r="X80" s="370" t="str">
        <x:f>IF(AND($E80&lt;&gt;"",$E80&lt;=X$5+6,$F80&gt;=X$5),"■","")</x:f>
      </x:c>
      <x:c r="Y80" s="370" t="str">
        <x:f>IF(AND($E80&lt;&gt;"",$E80&lt;=Y$5+6,$F80&gt;=Y$5),"■","")</x:f>
      </x:c>
      <x:c r="Z80" s="370" t="str">
        <x:f>IF(AND($E80&lt;&gt;"",$E80&lt;=Z$5+6,$F80&gt;=Z$5),"■","")</x:f>
      </x:c>
      <x:c r="AA80" s="370" t="str">
        <x:f>IF(AND($E80&lt;&gt;"",$E80&lt;=AA$5+6,$F80&gt;=AA$5),"■","")</x:f>
      </x:c>
      <x:c r="AB80" s="370" t="str">
        <x:f>IF(AND($E80&lt;&gt;"",$E80&lt;=AB$5+6,$F80&gt;=AB$5),"■","")</x:f>
      </x:c>
      <x:c r="AC80" s="370" t="str">
        <x:f>IF(AND($E80&lt;&gt;"",$E80&lt;=AC$5+6,$F80&gt;=AC$5),"■","")</x:f>
      </x:c>
      <x:c r="AD80" s="370" t="str">
        <x:f>IF(AND($E80&lt;&gt;"",$E80&lt;=AD$5+6,$F80&gt;=AD$5),"■","")</x:f>
      </x:c>
      <x:c r="AE80" s="370" t="str">
        <x:f>IF(AND($E80&lt;&gt;"",$E80&lt;=AE$5+6,$F80&gt;=AE$5),"■","")</x:f>
      </x:c>
      <x:c r="AF80" s="370" t="str">
        <x:f>IF(AND($E80&lt;&gt;"",$E80&lt;=AF$5+6,$F80&gt;=AF$5),"■","")</x:f>
      </x:c>
      <x:c r="AG80" s="370" t="str">
        <x:f>IF(AND($E80&lt;&gt;"",$E80&lt;=AG$5+6,$F80&gt;=AG$5),"■","")</x:f>
      </x:c>
      <x:c r="AH80" s="371" t="str">
        <x:f>IF(AND($E80&lt;&gt;"",$E80&lt;=AH$5+6,$F80&gt;=AH$5),"■","")</x:f>
      </x:c>
    </x:row>
    <x:row r="81" ht="38" customHeight="1">
      <x:c r="A81" s="466" t="str">
        <x:f>'作業計画'!A81</x:f>
        <x:v>00075</x:v>
      </x:c>
      <x:c r="B81" s="200" t="str">
        <x:f>'作業計画'!B81</x:f>
        <x:v>05.単体テスト</x:v>
      </x:c>
      <x:c r="C81" s="56" t="str">
        <x:f>'作業計画'!C81</x:f>
        <x:v>GoldWarehouse：作成Viewの単体テスト</x:v>
      </x:c>
      <x:c r="D81" s="56" t="str">
        <x:f>'作業計画'!D81</x:f>
        <x:v>テスト担当（要確定）</x:v>
      </x:c>
      <x:c r="E81" s="346" t="n">
        <x:f>IF('作業計画'!O81="","",'作業計画'!O81)</x:f>
        <x:v>46384</x:v>
      </x:c>
      <x:c r="F81" s="346" t="n">
        <x:f>IF('作業計画'!P81="","",'作業計画'!P81)</x:f>
        <x:v>46385</x:v>
      </x:c>
      <x:c r="G81" s="354" t="n">
        <x:f>'作業計画'!U81</x:f>
        <x:v>0</x:v>
      </x:c>
      <x:c r="H81" s="56" t="str">
        <x:f>'作業計画'!V81</x:f>
        <x:v>予定前</x:v>
      </x:c>
      <x:c r="I81" s="372" t="str">
        <x:f>IF(AND($E81&lt;&gt;"",$E81&lt;=I$5+6,$F81&gt;=I$5),"■","")</x:f>
      </x:c>
      <x:c r="J81" s="372" t="str">
        <x:f>IF(AND($E81&lt;&gt;"",$E81&lt;=J$5+6,$F81&gt;=J$5),"■","")</x:f>
      </x:c>
      <x:c r="K81" s="372" t="str">
        <x:f>IF(AND($E81&lt;&gt;"",$E81&lt;=K$5+6,$F81&gt;=K$5),"■","")</x:f>
      </x:c>
      <x:c r="L81" s="372" t="str">
        <x:f>IF(AND($E81&lt;&gt;"",$E81&lt;=L$5+6,$F81&gt;=L$5),"■","")</x:f>
      </x:c>
      <x:c r="M81" s="372" t="str">
        <x:f>IF(AND($E81&lt;&gt;"",$E81&lt;=M$5+6,$F81&gt;=M$5),"■","")</x:f>
      </x:c>
      <x:c r="N81" s="372" t="str">
        <x:f>IF(AND($E81&lt;&gt;"",$E81&lt;=N$5+6,$F81&gt;=N$5),"■","")</x:f>
      </x:c>
      <x:c r="O81" s="372" t="str">
        <x:f>IF(AND($E81&lt;&gt;"",$E81&lt;=O$5+6,$F81&gt;=O$5),"■","")</x:f>
      </x:c>
      <x:c r="P81" s="372" t="str">
        <x:f>IF(AND($E81&lt;&gt;"",$E81&lt;=P$5+6,$F81&gt;=P$5),"■","")</x:f>
      </x:c>
      <x:c r="Q81" s="372" t="str">
        <x:f>IF(AND($E81&lt;&gt;"",$E81&lt;=Q$5+6,$F81&gt;=Q$5),"■","")</x:f>
      </x:c>
      <x:c r="R81" s="372" t="str">
        <x:f>IF(AND($E81&lt;&gt;"",$E81&lt;=R$5+6,$F81&gt;=R$5),"■","")</x:f>
      </x:c>
      <x:c r="S81" s="372" t="str">
        <x:f>IF(AND($E81&lt;&gt;"",$E81&lt;=S$5+6,$F81&gt;=S$5),"■","")</x:f>
        <x:v>■</x:v>
      </x:c>
      <x:c r="T81" s="372" t="str">
        <x:f>IF(AND($E81&lt;&gt;"",$E81&lt;=T$5+6,$F81&gt;=T$5),"■","")</x:f>
      </x:c>
      <x:c r="U81" s="372" t="str">
        <x:f>IF(AND($E81&lt;&gt;"",$E81&lt;=U$5+6,$F81&gt;=U$5),"■","")</x:f>
      </x:c>
      <x:c r="V81" s="372" t="str">
        <x:f>IF(AND($E81&lt;&gt;"",$E81&lt;=V$5+6,$F81&gt;=V$5),"■","")</x:f>
      </x:c>
      <x:c r="W81" s="372" t="str">
        <x:f>IF(AND($E81&lt;&gt;"",$E81&lt;=W$5+6,$F81&gt;=W$5),"■","")</x:f>
      </x:c>
      <x:c r="X81" s="372" t="str">
        <x:f>IF(AND($E81&lt;&gt;"",$E81&lt;=X$5+6,$F81&gt;=X$5),"■","")</x:f>
      </x:c>
      <x:c r="Y81" s="372" t="str">
        <x:f>IF(AND($E81&lt;&gt;"",$E81&lt;=Y$5+6,$F81&gt;=Y$5),"■","")</x:f>
      </x:c>
      <x:c r="Z81" s="372" t="str">
        <x:f>IF(AND($E81&lt;&gt;"",$E81&lt;=Z$5+6,$F81&gt;=Z$5),"■","")</x:f>
      </x:c>
      <x:c r="AA81" s="372" t="str">
        <x:f>IF(AND($E81&lt;&gt;"",$E81&lt;=AA$5+6,$F81&gt;=AA$5),"■","")</x:f>
      </x:c>
      <x:c r="AB81" s="372" t="str">
        <x:f>IF(AND($E81&lt;&gt;"",$E81&lt;=AB$5+6,$F81&gt;=AB$5),"■","")</x:f>
      </x:c>
      <x:c r="AC81" s="372" t="str">
        <x:f>IF(AND($E81&lt;&gt;"",$E81&lt;=AC$5+6,$F81&gt;=AC$5),"■","")</x:f>
      </x:c>
      <x:c r="AD81" s="372" t="str">
        <x:f>IF(AND($E81&lt;&gt;"",$E81&lt;=AD$5+6,$F81&gt;=AD$5),"■","")</x:f>
      </x:c>
      <x:c r="AE81" s="372" t="str">
        <x:f>IF(AND($E81&lt;&gt;"",$E81&lt;=AE$5+6,$F81&gt;=AE$5),"■","")</x:f>
      </x:c>
      <x:c r="AF81" s="372" t="str">
        <x:f>IF(AND($E81&lt;&gt;"",$E81&lt;=AF$5+6,$F81&gt;=AF$5),"■","")</x:f>
      </x:c>
      <x:c r="AG81" s="372" t="str">
        <x:f>IF(AND($E81&lt;&gt;"",$E81&lt;=AG$5+6,$F81&gt;=AG$5),"■","")</x:f>
      </x:c>
      <x:c r="AH81" s="373" t="str">
        <x:f>IF(AND($E81&lt;&gt;"",$E81&lt;=AH$5+6,$F81&gt;=AH$5),"■","")</x:f>
      </x:c>
    </x:row>
    <x:row r="82" ht="38" customHeight="1">
      <x:c r="A82" s="465" t="str">
        <x:f>'作業計画'!A82</x:f>
        <x:v>00076</x:v>
      </x:c>
      <x:c r="B82" s="200" t="str">
        <x:f>'作業計画'!B82</x:f>
        <x:v>05.単体テスト</x:v>
      </x:c>
      <x:c r="C82" s="48" t="str">
        <x:f>'作業計画'!C82</x:f>
        <x:v>Product：加工結果・stg／tgt単体テスト</x:v>
      </x:c>
      <x:c r="D82" s="48" t="str">
        <x:f>'作業計画'!D82</x:f>
        <x:v>テスト担当（要確定）</x:v>
      </x:c>
      <x:c r="E82" s="345" t="n">
        <x:f>IF('作業計画'!O82="","",'作業計画'!O82)</x:f>
        <x:v>46393</x:v>
      </x:c>
      <x:c r="F82" s="345" t="n">
        <x:f>IF('作業計画'!P82="","",'作業計画'!P82)</x:f>
        <x:v>46394</x:v>
      </x:c>
      <x:c r="G82" s="353" t="n">
        <x:f>'作業計画'!U82</x:f>
        <x:v>0</x:v>
      </x:c>
      <x:c r="H82" s="48" t="str">
        <x:f>'作業計画'!V82</x:f>
        <x:v>予定前</x:v>
      </x:c>
      <x:c r="I82" s="370" t="str">
        <x:f>IF(AND($E82&lt;&gt;"",$E82&lt;=I$5+6,$F82&gt;=I$5),"■","")</x:f>
      </x:c>
      <x:c r="J82" s="370" t="str">
        <x:f>IF(AND($E82&lt;&gt;"",$E82&lt;=J$5+6,$F82&gt;=J$5),"■","")</x:f>
      </x:c>
      <x:c r="K82" s="370" t="str">
        <x:f>IF(AND($E82&lt;&gt;"",$E82&lt;=K$5+6,$F82&gt;=K$5),"■","")</x:f>
      </x:c>
      <x:c r="L82" s="370" t="str">
        <x:f>IF(AND($E82&lt;&gt;"",$E82&lt;=L$5+6,$F82&gt;=L$5),"■","")</x:f>
      </x:c>
      <x:c r="M82" s="370" t="str">
        <x:f>IF(AND($E82&lt;&gt;"",$E82&lt;=M$5+6,$F82&gt;=M$5),"■","")</x:f>
      </x:c>
      <x:c r="N82" s="370" t="str">
        <x:f>IF(AND($E82&lt;&gt;"",$E82&lt;=N$5+6,$F82&gt;=N$5),"■","")</x:f>
      </x:c>
      <x:c r="O82" s="370" t="str">
        <x:f>IF(AND($E82&lt;&gt;"",$E82&lt;=O$5+6,$F82&gt;=O$5),"■","")</x:f>
      </x:c>
      <x:c r="P82" s="370" t="str">
        <x:f>IF(AND($E82&lt;&gt;"",$E82&lt;=P$5+6,$F82&gt;=P$5),"■","")</x:f>
      </x:c>
      <x:c r="Q82" s="370" t="str">
        <x:f>IF(AND($E82&lt;&gt;"",$E82&lt;=Q$5+6,$F82&gt;=Q$5),"■","")</x:f>
      </x:c>
      <x:c r="R82" s="370" t="str">
        <x:f>IF(AND($E82&lt;&gt;"",$E82&lt;=R$5+6,$F82&gt;=R$5),"■","")</x:f>
      </x:c>
      <x:c r="S82" s="370" t="str">
        <x:f>IF(AND($E82&lt;&gt;"",$E82&lt;=S$5+6,$F82&gt;=S$5),"■","")</x:f>
      </x:c>
      <x:c r="T82" s="370" t="str">
        <x:f>IF(AND($E82&lt;&gt;"",$E82&lt;=T$5+6,$F82&gt;=T$5),"■","")</x:f>
        <x:v>■</x:v>
      </x:c>
      <x:c r="U82" s="370" t="str">
        <x:f>IF(AND($E82&lt;&gt;"",$E82&lt;=U$5+6,$F82&gt;=U$5),"■","")</x:f>
      </x:c>
      <x:c r="V82" s="370" t="str">
        <x:f>IF(AND($E82&lt;&gt;"",$E82&lt;=V$5+6,$F82&gt;=V$5),"■","")</x:f>
      </x:c>
      <x:c r="W82" s="370" t="str">
        <x:f>IF(AND($E82&lt;&gt;"",$E82&lt;=W$5+6,$F82&gt;=W$5),"■","")</x:f>
      </x:c>
      <x:c r="X82" s="370" t="str">
        <x:f>IF(AND($E82&lt;&gt;"",$E82&lt;=X$5+6,$F82&gt;=X$5),"■","")</x:f>
      </x:c>
      <x:c r="Y82" s="370" t="str">
        <x:f>IF(AND($E82&lt;&gt;"",$E82&lt;=Y$5+6,$F82&gt;=Y$5),"■","")</x:f>
      </x:c>
      <x:c r="Z82" s="370" t="str">
        <x:f>IF(AND($E82&lt;&gt;"",$E82&lt;=Z$5+6,$F82&gt;=Z$5),"■","")</x:f>
      </x:c>
      <x:c r="AA82" s="370" t="str">
        <x:f>IF(AND($E82&lt;&gt;"",$E82&lt;=AA$5+6,$F82&gt;=AA$5),"■","")</x:f>
      </x:c>
      <x:c r="AB82" s="370" t="str">
        <x:f>IF(AND($E82&lt;&gt;"",$E82&lt;=AB$5+6,$F82&gt;=AB$5),"■","")</x:f>
      </x:c>
      <x:c r="AC82" s="370" t="str">
        <x:f>IF(AND($E82&lt;&gt;"",$E82&lt;=AC$5+6,$F82&gt;=AC$5),"■","")</x:f>
      </x:c>
      <x:c r="AD82" s="370" t="str">
        <x:f>IF(AND($E82&lt;&gt;"",$E82&lt;=AD$5+6,$F82&gt;=AD$5),"■","")</x:f>
      </x:c>
      <x:c r="AE82" s="370" t="str">
        <x:f>IF(AND($E82&lt;&gt;"",$E82&lt;=AE$5+6,$F82&gt;=AE$5),"■","")</x:f>
      </x:c>
      <x:c r="AF82" s="370" t="str">
        <x:f>IF(AND($E82&lt;&gt;"",$E82&lt;=AF$5+6,$F82&gt;=AF$5),"■","")</x:f>
      </x:c>
      <x:c r="AG82" s="370" t="str">
        <x:f>IF(AND($E82&lt;&gt;"",$E82&lt;=AG$5+6,$F82&gt;=AG$5),"■","")</x:f>
      </x:c>
      <x:c r="AH82" s="371" t="str">
        <x:f>IF(AND($E82&lt;&gt;"",$E82&lt;=AH$5+6,$F82&gt;=AH$5),"■","")</x:f>
      </x:c>
    </x:row>
    <x:row r="83" ht="38" customHeight="1">
      <x:c r="A83" s="466" t="str">
        <x:f>'作業計画'!A83</x:f>
        <x:v>00077</x:v>
      </x:c>
      <x:c r="B83" s="200" t="str">
        <x:f>'作業計画'!B83</x:f>
        <x:v>05.単体テスト</x:v>
      </x:c>
      <x:c r="C83" s="56" t="str">
        <x:f>'作業計画'!C83</x:f>
        <x:v>Contact：加工結果・stg／tgt単体テスト</x:v>
      </x:c>
      <x:c r="D83" s="56" t="str">
        <x:f>'作業計画'!D83</x:f>
        <x:v>テスト担当（要確定）</x:v>
      </x:c>
      <x:c r="E83" s="346" t="n">
        <x:f>IF('作業計画'!O83="","",'作業計画'!O83)</x:f>
        <x:v>46395</x:v>
      </x:c>
      <x:c r="F83" s="346" t="n">
        <x:f>IF('作業計画'!P83="","",'作業計画'!P83)</x:f>
        <x:v>46398</x:v>
      </x:c>
      <x:c r="G83" s="354" t="n">
        <x:f>'作業計画'!U83</x:f>
        <x:v>0</x:v>
      </x:c>
      <x:c r="H83" s="56" t="str">
        <x:f>'作業計画'!V83</x:f>
        <x:v>予定前</x:v>
      </x:c>
      <x:c r="I83" s="372" t="str">
        <x:f>IF(AND($E83&lt;&gt;"",$E83&lt;=I$5+6,$F83&gt;=I$5),"■","")</x:f>
      </x:c>
      <x:c r="J83" s="372" t="str">
        <x:f>IF(AND($E83&lt;&gt;"",$E83&lt;=J$5+6,$F83&gt;=J$5),"■","")</x:f>
      </x:c>
      <x:c r="K83" s="372" t="str">
        <x:f>IF(AND($E83&lt;&gt;"",$E83&lt;=K$5+6,$F83&gt;=K$5),"■","")</x:f>
      </x:c>
      <x:c r="L83" s="372" t="str">
        <x:f>IF(AND($E83&lt;&gt;"",$E83&lt;=L$5+6,$F83&gt;=L$5),"■","")</x:f>
      </x:c>
      <x:c r="M83" s="372" t="str">
        <x:f>IF(AND($E83&lt;&gt;"",$E83&lt;=M$5+6,$F83&gt;=M$5),"■","")</x:f>
      </x:c>
      <x:c r="N83" s="372" t="str">
        <x:f>IF(AND($E83&lt;&gt;"",$E83&lt;=N$5+6,$F83&gt;=N$5),"■","")</x:f>
      </x:c>
      <x:c r="O83" s="372" t="str">
        <x:f>IF(AND($E83&lt;&gt;"",$E83&lt;=O$5+6,$F83&gt;=O$5),"■","")</x:f>
      </x:c>
      <x:c r="P83" s="372" t="str">
        <x:f>IF(AND($E83&lt;&gt;"",$E83&lt;=P$5+6,$F83&gt;=P$5),"■","")</x:f>
      </x:c>
      <x:c r="Q83" s="372" t="str">
        <x:f>IF(AND($E83&lt;&gt;"",$E83&lt;=Q$5+6,$F83&gt;=Q$5),"■","")</x:f>
      </x:c>
      <x:c r="R83" s="372" t="str">
        <x:f>IF(AND($E83&lt;&gt;"",$E83&lt;=R$5+6,$F83&gt;=R$5),"■","")</x:f>
      </x:c>
      <x:c r="S83" s="372" t="str">
        <x:f>IF(AND($E83&lt;&gt;"",$E83&lt;=S$5+6,$F83&gt;=S$5),"■","")</x:f>
      </x:c>
      <x:c r="T83" s="372" t="str">
        <x:f>IF(AND($E83&lt;&gt;"",$E83&lt;=T$5+6,$F83&gt;=T$5),"■","")</x:f>
        <x:v>■</x:v>
      </x:c>
      <x:c r="U83" s="372" t="str">
        <x:f>IF(AND($E83&lt;&gt;"",$E83&lt;=U$5+6,$F83&gt;=U$5),"■","")</x:f>
        <x:v>■</x:v>
      </x:c>
      <x:c r="V83" s="372" t="str">
        <x:f>IF(AND($E83&lt;&gt;"",$E83&lt;=V$5+6,$F83&gt;=V$5),"■","")</x:f>
      </x:c>
      <x:c r="W83" s="372" t="str">
        <x:f>IF(AND($E83&lt;&gt;"",$E83&lt;=W$5+6,$F83&gt;=W$5),"■","")</x:f>
      </x:c>
      <x:c r="X83" s="372" t="str">
        <x:f>IF(AND($E83&lt;&gt;"",$E83&lt;=X$5+6,$F83&gt;=X$5),"■","")</x:f>
      </x:c>
      <x:c r="Y83" s="372" t="str">
        <x:f>IF(AND($E83&lt;&gt;"",$E83&lt;=Y$5+6,$F83&gt;=Y$5),"■","")</x:f>
      </x:c>
      <x:c r="Z83" s="372" t="str">
        <x:f>IF(AND($E83&lt;&gt;"",$E83&lt;=Z$5+6,$F83&gt;=Z$5),"■","")</x:f>
      </x:c>
      <x:c r="AA83" s="372" t="str">
        <x:f>IF(AND($E83&lt;&gt;"",$E83&lt;=AA$5+6,$F83&gt;=AA$5),"■","")</x:f>
      </x:c>
      <x:c r="AB83" s="372" t="str">
        <x:f>IF(AND($E83&lt;&gt;"",$E83&lt;=AB$5+6,$F83&gt;=AB$5),"■","")</x:f>
      </x:c>
      <x:c r="AC83" s="372" t="str">
        <x:f>IF(AND($E83&lt;&gt;"",$E83&lt;=AC$5+6,$F83&gt;=AC$5),"■","")</x:f>
      </x:c>
      <x:c r="AD83" s="372" t="str">
        <x:f>IF(AND($E83&lt;&gt;"",$E83&lt;=AD$5+6,$F83&gt;=AD$5),"■","")</x:f>
      </x:c>
      <x:c r="AE83" s="372" t="str">
        <x:f>IF(AND($E83&lt;&gt;"",$E83&lt;=AE$5+6,$F83&gt;=AE$5),"■","")</x:f>
      </x:c>
      <x:c r="AF83" s="372" t="str">
        <x:f>IF(AND($E83&lt;&gt;"",$E83&lt;=AF$5+6,$F83&gt;=AF$5),"■","")</x:f>
      </x:c>
      <x:c r="AG83" s="372" t="str">
        <x:f>IF(AND($E83&lt;&gt;"",$E83&lt;=AG$5+6,$F83&gt;=AG$5),"■","")</x:f>
      </x:c>
      <x:c r="AH83" s="373" t="str">
        <x:f>IF(AND($E83&lt;&gt;"",$E83&lt;=AH$5+6,$F83&gt;=AH$5),"■","")</x:f>
      </x:c>
    </x:row>
    <x:row r="84" ht="38" customHeight="1">
      <x:c r="A84" s="465" t="str">
        <x:f>'作業計画'!A84</x:f>
        <x:v>00078</x:v>
      </x:c>
      <x:c r="B84" s="200" t="str">
        <x:f>'作業計画'!B84</x:f>
        <x:v>05.単体テスト</x:v>
      </x:c>
      <x:c r="C84" s="48" t="str">
        <x:f>'作業計画'!C84</x:f>
        <x:v>Account：加工結果・stg／tgt単体テスト</x:v>
      </x:c>
      <x:c r="D84" s="48" t="str">
        <x:f>'作業計画'!D84</x:f>
        <x:v>テスト担当（要確定）</x:v>
      </x:c>
      <x:c r="E84" s="345" t="n">
        <x:f>IF('作業計画'!O84="","",'作業計画'!O84)</x:f>
        <x:v>46399</x:v>
      </x:c>
      <x:c r="F84" s="345" t="n">
        <x:f>IF('作業計画'!P84="","",'作業計画'!P84)</x:f>
        <x:v>46400</x:v>
      </x:c>
      <x:c r="G84" s="353" t="n">
        <x:f>'作業計画'!U84</x:f>
        <x:v>0</x:v>
      </x:c>
      <x:c r="H84" s="48" t="str">
        <x:f>'作業計画'!V84</x:f>
        <x:v>予定前</x:v>
      </x:c>
      <x:c r="I84" s="370" t="str">
        <x:f>IF(AND($E84&lt;&gt;"",$E84&lt;=I$5+6,$F84&gt;=I$5),"■","")</x:f>
      </x:c>
      <x:c r="J84" s="370" t="str">
        <x:f>IF(AND($E84&lt;&gt;"",$E84&lt;=J$5+6,$F84&gt;=J$5),"■","")</x:f>
      </x:c>
      <x:c r="K84" s="370" t="str">
        <x:f>IF(AND($E84&lt;&gt;"",$E84&lt;=K$5+6,$F84&gt;=K$5),"■","")</x:f>
      </x:c>
      <x:c r="L84" s="370" t="str">
        <x:f>IF(AND($E84&lt;&gt;"",$E84&lt;=L$5+6,$F84&gt;=L$5),"■","")</x:f>
      </x:c>
      <x:c r="M84" s="370" t="str">
        <x:f>IF(AND($E84&lt;&gt;"",$E84&lt;=M$5+6,$F84&gt;=M$5),"■","")</x:f>
      </x:c>
      <x:c r="N84" s="370" t="str">
        <x:f>IF(AND($E84&lt;&gt;"",$E84&lt;=N$5+6,$F84&gt;=N$5),"■","")</x:f>
      </x:c>
      <x:c r="O84" s="370" t="str">
        <x:f>IF(AND($E84&lt;&gt;"",$E84&lt;=O$5+6,$F84&gt;=O$5),"■","")</x:f>
      </x:c>
      <x:c r="P84" s="370" t="str">
        <x:f>IF(AND($E84&lt;&gt;"",$E84&lt;=P$5+6,$F84&gt;=P$5),"■","")</x:f>
      </x:c>
      <x:c r="Q84" s="370" t="str">
        <x:f>IF(AND($E84&lt;&gt;"",$E84&lt;=Q$5+6,$F84&gt;=Q$5),"■","")</x:f>
      </x:c>
      <x:c r="R84" s="370" t="str">
        <x:f>IF(AND($E84&lt;&gt;"",$E84&lt;=R$5+6,$F84&gt;=R$5),"■","")</x:f>
      </x:c>
      <x:c r="S84" s="370" t="str">
        <x:f>IF(AND($E84&lt;&gt;"",$E84&lt;=S$5+6,$F84&gt;=S$5),"■","")</x:f>
      </x:c>
      <x:c r="T84" s="370" t="str">
        <x:f>IF(AND($E84&lt;&gt;"",$E84&lt;=T$5+6,$F84&gt;=T$5),"■","")</x:f>
      </x:c>
      <x:c r="U84" s="370" t="str">
        <x:f>IF(AND($E84&lt;&gt;"",$E84&lt;=U$5+6,$F84&gt;=U$5),"■","")</x:f>
        <x:v>■</x:v>
      </x:c>
      <x:c r="V84" s="370" t="str">
        <x:f>IF(AND($E84&lt;&gt;"",$E84&lt;=V$5+6,$F84&gt;=V$5),"■","")</x:f>
      </x:c>
      <x:c r="W84" s="370" t="str">
        <x:f>IF(AND($E84&lt;&gt;"",$E84&lt;=W$5+6,$F84&gt;=W$5),"■","")</x:f>
      </x:c>
      <x:c r="X84" s="370" t="str">
        <x:f>IF(AND($E84&lt;&gt;"",$E84&lt;=X$5+6,$F84&gt;=X$5),"■","")</x:f>
      </x:c>
      <x:c r="Y84" s="370" t="str">
        <x:f>IF(AND($E84&lt;&gt;"",$E84&lt;=Y$5+6,$F84&gt;=Y$5),"■","")</x:f>
      </x:c>
      <x:c r="Z84" s="370" t="str">
        <x:f>IF(AND($E84&lt;&gt;"",$E84&lt;=Z$5+6,$F84&gt;=Z$5),"■","")</x:f>
      </x:c>
      <x:c r="AA84" s="370" t="str">
        <x:f>IF(AND($E84&lt;&gt;"",$E84&lt;=AA$5+6,$F84&gt;=AA$5),"■","")</x:f>
      </x:c>
      <x:c r="AB84" s="370" t="str">
        <x:f>IF(AND($E84&lt;&gt;"",$E84&lt;=AB$5+6,$F84&gt;=AB$5),"■","")</x:f>
      </x:c>
      <x:c r="AC84" s="370" t="str">
        <x:f>IF(AND($E84&lt;&gt;"",$E84&lt;=AC$5+6,$F84&gt;=AC$5),"■","")</x:f>
      </x:c>
      <x:c r="AD84" s="370" t="str">
        <x:f>IF(AND($E84&lt;&gt;"",$E84&lt;=AD$5+6,$F84&gt;=AD$5),"■","")</x:f>
      </x:c>
      <x:c r="AE84" s="370" t="str">
        <x:f>IF(AND($E84&lt;&gt;"",$E84&lt;=AE$5+6,$F84&gt;=AE$5),"■","")</x:f>
      </x:c>
      <x:c r="AF84" s="370" t="str">
        <x:f>IF(AND($E84&lt;&gt;"",$E84&lt;=AF$5+6,$F84&gt;=AF$5),"■","")</x:f>
      </x:c>
      <x:c r="AG84" s="370" t="str">
        <x:f>IF(AND($E84&lt;&gt;"",$E84&lt;=AG$5+6,$F84&gt;=AG$5),"■","")</x:f>
      </x:c>
      <x:c r="AH84" s="371" t="str">
        <x:f>IF(AND($E84&lt;&gt;"",$E84&lt;=AH$5+6,$F84&gt;=AH$5),"■","")</x:f>
      </x:c>
    </x:row>
    <x:row r="85" ht="38" customHeight="1">
      <x:c r="A85" s="466" t="str">
        <x:f>'作業計画'!A85</x:f>
        <x:v>00079</x:v>
      </x:c>
      <x:c r="B85" s="200" t="str">
        <x:f>'作業計画'!B85</x:f>
        <x:v>05.単体テスト</x:v>
      </x:c>
      <x:c r="C85" s="56" t="str">
        <x:f>'作業計画'!C85</x:f>
        <x:v>AccountContact：加工結果・stg／tgt単体テスト</x:v>
      </x:c>
      <x:c r="D85" s="56" t="str">
        <x:f>'作業計画'!D85</x:f>
        <x:v>テスト担当（要確定）</x:v>
      </x:c>
      <x:c r="E85" s="346" t="n">
        <x:f>IF('作業計画'!O85="","",'作業計画'!O85)</x:f>
        <x:v>46401</x:v>
      </x:c>
      <x:c r="F85" s="346" t="n">
        <x:f>IF('作業計画'!P85="","",'作業計画'!P85)</x:f>
        <x:v>46402</x:v>
      </x:c>
      <x:c r="G85" s="354" t="n">
        <x:f>'作業計画'!U85</x:f>
        <x:v>0</x:v>
      </x:c>
      <x:c r="H85" s="56" t="str">
        <x:f>'作業計画'!V85</x:f>
        <x:v>予定前</x:v>
      </x:c>
      <x:c r="I85" s="372" t="str">
        <x:f>IF(AND($E85&lt;&gt;"",$E85&lt;=I$5+6,$F85&gt;=I$5),"■","")</x:f>
      </x:c>
      <x:c r="J85" s="372" t="str">
        <x:f>IF(AND($E85&lt;&gt;"",$E85&lt;=J$5+6,$F85&gt;=J$5),"■","")</x:f>
      </x:c>
      <x:c r="K85" s="372" t="str">
        <x:f>IF(AND($E85&lt;&gt;"",$E85&lt;=K$5+6,$F85&gt;=K$5),"■","")</x:f>
      </x:c>
      <x:c r="L85" s="372" t="str">
        <x:f>IF(AND($E85&lt;&gt;"",$E85&lt;=L$5+6,$F85&gt;=L$5),"■","")</x:f>
      </x:c>
      <x:c r="M85" s="372" t="str">
        <x:f>IF(AND($E85&lt;&gt;"",$E85&lt;=M$5+6,$F85&gt;=M$5),"■","")</x:f>
      </x:c>
      <x:c r="N85" s="372" t="str">
        <x:f>IF(AND($E85&lt;&gt;"",$E85&lt;=N$5+6,$F85&gt;=N$5),"■","")</x:f>
      </x:c>
      <x:c r="O85" s="372" t="str">
        <x:f>IF(AND($E85&lt;&gt;"",$E85&lt;=O$5+6,$F85&gt;=O$5),"■","")</x:f>
      </x:c>
      <x:c r="P85" s="372" t="str">
        <x:f>IF(AND($E85&lt;&gt;"",$E85&lt;=P$5+6,$F85&gt;=P$5),"■","")</x:f>
      </x:c>
      <x:c r="Q85" s="372" t="str">
        <x:f>IF(AND($E85&lt;&gt;"",$E85&lt;=Q$5+6,$F85&gt;=Q$5),"■","")</x:f>
      </x:c>
      <x:c r="R85" s="372" t="str">
        <x:f>IF(AND($E85&lt;&gt;"",$E85&lt;=R$5+6,$F85&gt;=R$5),"■","")</x:f>
      </x:c>
      <x:c r="S85" s="372" t="str">
        <x:f>IF(AND($E85&lt;&gt;"",$E85&lt;=S$5+6,$F85&gt;=S$5),"■","")</x:f>
      </x:c>
      <x:c r="T85" s="372" t="str">
        <x:f>IF(AND($E85&lt;&gt;"",$E85&lt;=T$5+6,$F85&gt;=T$5),"■","")</x:f>
      </x:c>
      <x:c r="U85" s="372" t="str">
        <x:f>IF(AND($E85&lt;&gt;"",$E85&lt;=U$5+6,$F85&gt;=U$5),"■","")</x:f>
        <x:v>■</x:v>
      </x:c>
      <x:c r="V85" s="372" t="str">
        <x:f>IF(AND($E85&lt;&gt;"",$E85&lt;=V$5+6,$F85&gt;=V$5),"■","")</x:f>
      </x:c>
      <x:c r="W85" s="372" t="str">
        <x:f>IF(AND($E85&lt;&gt;"",$E85&lt;=W$5+6,$F85&gt;=W$5),"■","")</x:f>
      </x:c>
      <x:c r="X85" s="372" t="str">
        <x:f>IF(AND($E85&lt;&gt;"",$E85&lt;=X$5+6,$F85&gt;=X$5),"■","")</x:f>
      </x:c>
      <x:c r="Y85" s="372" t="str">
        <x:f>IF(AND($E85&lt;&gt;"",$E85&lt;=Y$5+6,$F85&gt;=Y$5),"■","")</x:f>
      </x:c>
      <x:c r="Z85" s="372" t="str">
        <x:f>IF(AND($E85&lt;&gt;"",$E85&lt;=Z$5+6,$F85&gt;=Z$5),"■","")</x:f>
      </x:c>
      <x:c r="AA85" s="372" t="str">
        <x:f>IF(AND($E85&lt;&gt;"",$E85&lt;=AA$5+6,$F85&gt;=AA$5),"■","")</x:f>
      </x:c>
      <x:c r="AB85" s="372" t="str">
        <x:f>IF(AND($E85&lt;&gt;"",$E85&lt;=AB$5+6,$F85&gt;=AB$5),"■","")</x:f>
      </x:c>
      <x:c r="AC85" s="372" t="str">
        <x:f>IF(AND($E85&lt;&gt;"",$E85&lt;=AC$5+6,$F85&gt;=AC$5),"■","")</x:f>
      </x:c>
      <x:c r="AD85" s="372" t="str">
        <x:f>IF(AND($E85&lt;&gt;"",$E85&lt;=AD$5+6,$F85&gt;=AD$5),"■","")</x:f>
      </x:c>
      <x:c r="AE85" s="372" t="str">
        <x:f>IF(AND($E85&lt;&gt;"",$E85&lt;=AE$5+6,$F85&gt;=AE$5),"■","")</x:f>
      </x:c>
      <x:c r="AF85" s="372" t="str">
        <x:f>IF(AND($E85&lt;&gt;"",$E85&lt;=AF$5+6,$F85&gt;=AF$5),"■","")</x:f>
      </x:c>
      <x:c r="AG85" s="372" t="str">
        <x:f>IF(AND($E85&lt;&gt;"",$E85&lt;=AG$5+6,$F85&gt;=AG$5),"■","")</x:f>
      </x:c>
      <x:c r="AH85" s="373" t="str">
        <x:f>IF(AND($E85&lt;&gt;"",$E85&lt;=AH$5+6,$F85&gt;=AH$5),"■","")</x:f>
      </x:c>
    </x:row>
    <x:row r="86" ht="38" customHeight="1">
      <x:c r="A86" s="465" t="str">
        <x:f>'作業計画'!A86</x:f>
        <x:v>00080</x:v>
      </x:c>
      <x:c r="B86" s="200" t="str">
        <x:f>'作業計画'!B86</x:f>
        <x:v>05.単体テスト</x:v>
      </x:c>
      <x:c r="C86" s="48" t="str">
        <x:f>'作業計画'!C86</x:f>
        <x:v>SalesRepHospital：加工結果・stg／tgt単体テスト</x:v>
      </x:c>
      <x:c r="D86" s="48" t="str">
        <x:f>'作業計画'!D86</x:f>
        <x:v>テスト担当（要確定）</x:v>
      </x:c>
      <x:c r="E86" s="345" t="n">
        <x:f>IF('作業計画'!O86="","",'作業計画'!O86)</x:f>
        <x:v>46405</x:v>
      </x:c>
      <x:c r="F86" s="345" t="n">
        <x:f>IF('作業計画'!P86="","",'作業計画'!P86)</x:f>
        <x:v>46406</x:v>
      </x:c>
      <x:c r="G86" s="353" t="n">
        <x:f>'作業計画'!U86</x:f>
        <x:v>0</x:v>
      </x:c>
      <x:c r="H86" s="48" t="str">
        <x:f>'作業計画'!V86</x:f>
        <x:v>予定前</x:v>
      </x:c>
      <x:c r="I86" s="370" t="str">
        <x:f>IF(AND($E86&lt;&gt;"",$E86&lt;=I$5+6,$F86&gt;=I$5),"■","")</x:f>
      </x:c>
      <x:c r="J86" s="370" t="str">
        <x:f>IF(AND($E86&lt;&gt;"",$E86&lt;=J$5+6,$F86&gt;=J$5),"■","")</x:f>
      </x:c>
      <x:c r="K86" s="370" t="str">
        <x:f>IF(AND($E86&lt;&gt;"",$E86&lt;=K$5+6,$F86&gt;=K$5),"■","")</x:f>
      </x:c>
      <x:c r="L86" s="370" t="str">
        <x:f>IF(AND($E86&lt;&gt;"",$E86&lt;=L$5+6,$F86&gt;=L$5),"■","")</x:f>
      </x:c>
      <x:c r="M86" s="370" t="str">
        <x:f>IF(AND($E86&lt;&gt;"",$E86&lt;=M$5+6,$F86&gt;=M$5),"■","")</x:f>
      </x:c>
      <x:c r="N86" s="370" t="str">
        <x:f>IF(AND($E86&lt;&gt;"",$E86&lt;=N$5+6,$F86&gt;=N$5),"■","")</x:f>
      </x:c>
      <x:c r="O86" s="370" t="str">
        <x:f>IF(AND($E86&lt;&gt;"",$E86&lt;=O$5+6,$F86&gt;=O$5),"■","")</x:f>
      </x:c>
      <x:c r="P86" s="370" t="str">
        <x:f>IF(AND($E86&lt;&gt;"",$E86&lt;=P$5+6,$F86&gt;=P$5),"■","")</x:f>
      </x:c>
      <x:c r="Q86" s="370" t="str">
        <x:f>IF(AND($E86&lt;&gt;"",$E86&lt;=Q$5+6,$F86&gt;=Q$5),"■","")</x:f>
      </x:c>
      <x:c r="R86" s="370" t="str">
        <x:f>IF(AND($E86&lt;&gt;"",$E86&lt;=R$5+6,$F86&gt;=R$5),"■","")</x:f>
      </x:c>
      <x:c r="S86" s="370" t="str">
        <x:f>IF(AND($E86&lt;&gt;"",$E86&lt;=S$5+6,$F86&gt;=S$5),"■","")</x:f>
      </x:c>
      <x:c r="T86" s="370" t="str">
        <x:f>IF(AND($E86&lt;&gt;"",$E86&lt;=T$5+6,$F86&gt;=T$5),"■","")</x:f>
      </x:c>
      <x:c r="U86" s="370" t="str">
        <x:f>IF(AND($E86&lt;&gt;"",$E86&lt;=U$5+6,$F86&gt;=U$5),"■","")</x:f>
      </x:c>
      <x:c r="V86" s="370" t="str">
        <x:f>IF(AND($E86&lt;&gt;"",$E86&lt;=V$5+6,$F86&gt;=V$5),"■","")</x:f>
        <x:v>■</x:v>
      </x:c>
      <x:c r="W86" s="370" t="str">
        <x:f>IF(AND($E86&lt;&gt;"",$E86&lt;=W$5+6,$F86&gt;=W$5),"■","")</x:f>
      </x:c>
      <x:c r="X86" s="370" t="str">
        <x:f>IF(AND($E86&lt;&gt;"",$E86&lt;=X$5+6,$F86&gt;=X$5),"■","")</x:f>
      </x:c>
      <x:c r="Y86" s="370" t="str">
        <x:f>IF(AND($E86&lt;&gt;"",$E86&lt;=Y$5+6,$F86&gt;=Y$5),"■","")</x:f>
      </x:c>
      <x:c r="Z86" s="370" t="str">
        <x:f>IF(AND($E86&lt;&gt;"",$E86&lt;=Z$5+6,$F86&gt;=Z$5),"■","")</x:f>
      </x:c>
      <x:c r="AA86" s="370" t="str">
        <x:f>IF(AND($E86&lt;&gt;"",$E86&lt;=AA$5+6,$F86&gt;=AA$5),"■","")</x:f>
      </x:c>
      <x:c r="AB86" s="370" t="str">
        <x:f>IF(AND($E86&lt;&gt;"",$E86&lt;=AB$5+6,$F86&gt;=AB$5),"■","")</x:f>
      </x:c>
      <x:c r="AC86" s="370" t="str">
        <x:f>IF(AND($E86&lt;&gt;"",$E86&lt;=AC$5+6,$F86&gt;=AC$5),"■","")</x:f>
      </x:c>
      <x:c r="AD86" s="370" t="str">
        <x:f>IF(AND($E86&lt;&gt;"",$E86&lt;=AD$5+6,$F86&gt;=AD$5),"■","")</x:f>
      </x:c>
      <x:c r="AE86" s="370" t="str">
        <x:f>IF(AND($E86&lt;&gt;"",$E86&lt;=AE$5+6,$F86&gt;=AE$5),"■","")</x:f>
      </x:c>
      <x:c r="AF86" s="370" t="str">
        <x:f>IF(AND($E86&lt;&gt;"",$E86&lt;=AF$5+6,$F86&gt;=AF$5),"■","")</x:f>
      </x:c>
      <x:c r="AG86" s="370" t="str">
        <x:f>IF(AND($E86&lt;&gt;"",$E86&lt;=AG$5+6,$F86&gt;=AG$5),"■","")</x:f>
      </x:c>
      <x:c r="AH86" s="371" t="str">
        <x:f>IF(AND($E86&lt;&gt;"",$E86&lt;=AH$5+6,$F86&gt;=AH$5),"■","")</x:f>
      </x:c>
    </x:row>
    <x:row r="87" ht="38" customHeight="1">
      <x:c r="A87" s="466" t="str">
        <x:f>'作業計画'!A87</x:f>
        <x:v>00081</x:v>
      </x:c>
      <x:c r="B87" s="200" t="str">
        <x:f>'作業計画'!B87</x:f>
        <x:v>05.単体テスト</x:v>
      </x:c>
      <x:c r="C87" s="56" t="str">
        <x:f>'作業計画'!C87</x:f>
        <x:v>Watermark：更新・失敗時整合性の単体テスト</x:v>
      </x:c>
      <x:c r="D87" s="56" t="str">
        <x:f>'作業計画'!D87</x:f>
        <x:v>テスト担当（要確定）</x:v>
      </x:c>
      <x:c r="E87" s="346" t="n">
        <x:f>IF('作業計画'!O87="","",'作業計画'!O87)</x:f>
        <x:v>46387</x:v>
      </x:c>
      <x:c r="F87" s="346" t="n">
        <x:f>IF('作業計画'!P87="","",'作業計画'!P87)</x:f>
        <x:v>46388</x:v>
      </x:c>
      <x:c r="G87" s="354" t="n">
        <x:f>'作業計画'!U87</x:f>
        <x:v>0</x:v>
      </x:c>
      <x:c r="H87" s="56" t="str">
        <x:f>'作業計画'!V87</x:f>
        <x:v>予定前</x:v>
      </x:c>
      <x:c r="I87" s="372" t="str">
        <x:f>IF(AND($E87&lt;&gt;"",$E87&lt;=I$5+6,$F87&gt;=I$5),"■","")</x:f>
      </x:c>
      <x:c r="J87" s="372" t="str">
        <x:f>IF(AND($E87&lt;&gt;"",$E87&lt;=J$5+6,$F87&gt;=J$5),"■","")</x:f>
      </x:c>
      <x:c r="K87" s="372" t="str">
        <x:f>IF(AND($E87&lt;&gt;"",$E87&lt;=K$5+6,$F87&gt;=K$5),"■","")</x:f>
      </x:c>
      <x:c r="L87" s="372" t="str">
        <x:f>IF(AND($E87&lt;&gt;"",$E87&lt;=L$5+6,$F87&gt;=L$5),"■","")</x:f>
      </x:c>
      <x:c r="M87" s="372" t="str">
        <x:f>IF(AND($E87&lt;&gt;"",$E87&lt;=M$5+6,$F87&gt;=M$5),"■","")</x:f>
      </x:c>
      <x:c r="N87" s="372" t="str">
        <x:f>IF(AND($E87&lt;&gt;"",$E87&lt;=N$5+6,$F87&gt;=N$5),"■","")</x:f>
      </x:c>
      <x:c r="O87" s="372" t="str">
        <x:f>IF(AND($E87&lt;&gt;"",$E87&lt;=O$5+6,$F87&gt;=O$5),"■","")</x:f>
      </x:c>
      <x:c r="P87" s="372" t="str">
        <x:f>IF(AND($E87&lt;&gt;"",$E87&lt;=P$5+6,$F87&gt;=P$5),"■","")</x:f>
      </x:c>
      <x:c r="Q87" s="372" t="str">
        <x:f>IF(AND($E87&lt;&gt;"",$E87&lt;=Q$5+6,$F87&gt;=Q$5),"■","")</x:f>
      </x:c>
      <x:c r="R87" s="372" t="str">
        <x:f>IF(AND($E87&lt;&gt;"",$E87&lt;=R$5+6,$F87&gt;=R$5),"■","")</x:f>
      </x:c>
      <x:c r="S87" s="372" t="str">
        <x:f>IF(AND($E87&lt;&gt;"",$E87&lt;=S$5+6,$F87&gt;=S$5),"■","")</x:f>
        <x:v>■</x:v>
      </x:c>
      <x:c r="T87" s="372" t="str">
        <x:f>IF(AND($E87&lt;&gt;"",$E87&lt;=T$5+6,$F87&gt;=T$5),"■","")</x:f>
      </x:c>
      <x:c r="U87" s="372" t="str">
        <x:f>IF(AND($E87&lt;&gt;"",$E87&lt;=U$5+6,$F87&gt;=U$5),"■","")</x:f>
      </x:c>
      <x:c r="V87" s="372" t="str">
        <x:f>IF(AND($E87&lt;&gt;"",$E87&lt;=V$5+6,$F87&gt;=V$5),"■","")</x:f>
      </x:c>
      <x:c r="W87" s="372" t="str">
        <x:f>IF(AND($E87&lt;&gt;"",$E87&lt;=W$5+6,$F87&gt;=W$5),"■","")</x:f>
      </x:c>
      <x:c r="X87" s="372" t="str">
        <x:f>IF(AND($E87&lt;&gt;"",$E87&lt;=X$5+6,$F87&gt;=X$5),"■","")</x:f>
      </x:c>
      <x:c r="Y87" s="372" t="str">
        <x:f>IF(AND($E87&lt;&gt;"",$E87&lt;=Y$5+6,$F87&gt;=Y$5),"■","")</x:f>
      </x:c>
      <x:c r="Z87" s="372" t="str">
        <x:f>IF(AND($E87&lt;&gt;"",$E87&lt;=Z$5+6,$F87&gt;=Z$5),"■","")</x:f>
      </x:c>
      <x:c r="AA87" s="372" t="str">
        <x:f>IF(AND($E87&lt;&gt;"",$E87&lt;=AA$5+6,$F87&gt;=AA$5),"■","")</x:f>
      </x:c>
      <x:c r="AB87" s="372" t="str">
        <x:f>IF(AND($E87&lt;&gt;"",$E87&lt;=AB$5+6,$F87&gt;=AB$5),"■","")</x:f>
      </x:c>
      <x:c r="AC87" s="372" t="str">
        <x:f>IF(AND($E87&lt;&gt;"",$E87&lt;=AC$5+6,$F87&gt;=AC$5),"■","")</x:f>
      </x:c>
      <x:c r="AD87" s="372" t="str">
        <x:f>IF(AND($E87&lt;&gt;"",$E87&lt;=AD$5+6,$F87&gt;=AD$5),"■","")</x:f>
      </x:c>
      <x:c r="AE87" s="372" t="str">
        <x:f>IF(AND($E87&lt;&gt;"",$E87&lt;=AE$5+6,$F87&gt;=AE$5),"■","")</x:f>
      </x:c>
      <x:c r="AF87" s="372" t="str">
        <x:f>IF(AND($E87&lt;&gt;"",$E87&lt;=AF$5+6,$F87&gt;=AF$5),"■","")</x:f>
      </x:c>
      <x:c r="AG87" s="372" t="str">
        <x:f>IF(AND($E87&lt;&gt;"",$E87&lt;=AG$5+6,$F87&gt;=AG$5),"■","")</x:f>
      </x:c>
      <x:c r="AH87" s="373" t="str">
        <x:f>IF(AND($E87&lt;&gt;"",$E87&lt;=AH$5+6,$F87&gt;=AH$5),"■","")</x:f>
      </x:c>
    </x:row>
    <x:row r="88" ht="38" customHeight="1">
      <x:c r="A88" s="465" t="str">
        <x:f>'作業計画'!A88</x:f>
        <x:v>00082</x:v>
      </x:c>
      <x:c r="B88" s="200" t="str">
        <x:f>'作業計画'!B88</x:f>
        <x:v>05.単体テスト</x:v>
      </x:c>
      <x:c r="C88" s="48" t="str">
        <x:f>'作業計画'!C88</x:f>
        <x:v>単体結果レビュー・結合テスト移行判定</x:v>
      </x:c>
      <x:c r="D88" s="48" t="str">
        <x:f>'作業計画'!D88</x:f>
        <x:v>品質／開発リーダー（要確定）</x:v>
      </x:c>
      <x:c r="E88" s="345" t="n">
        <x:f>IF('作業計画'!O88="","",'作業計画'!O88)</x:f>
        <x:v>46407</x:v>
      </x:c>
      <x:c r="F88" s="345" t="n">
        <x:f>IF('作業計画'!P88="","",'作業計画'!P88)</x:f>
        <x:v>46407</x:v>
      </x:c>
      <x:c r="G88" s="353" t="n">
        <x:f>'作業計画'!U88</x:f>
        <x:v>0</x:v>
      </x:c>
      <x:c r="H88" s="48" t="str">
        <x:f>'作業計画'!V88</x:f>
        <x:v>予定前</x:v>
      </x:c>
      <x:c r="I88" s="370" t="str">
        <x:f>IF(AND($E88&lt;&gt;"",$E88&lt;=I$5+6,$F88&gt;=I$5),"■","")</x:f>
      </x:c>
      <x:c r="J88" s="370" t="str">
        <x:f>IF(AND($E88&lt;&gt;"",$E88&lt;=J$5+6,$F88&gt;=J$5),"■","")</x:f>
      </x:c>
      <x:c r="K88" s="370" t="str">
        <x:f>IF(AND($E88&lt;&gt;"",$E88&lt;=K$5+6,$F88&gt;=K$5),"■","")</x:f>
      </x:c>
      <x:c r="L88" s="370" t="str">
        <x:f>IF(AND($E88&lt;&gt;"",$E88&lt;=L$5+6,$F88&gt;=L$5),"■","")</x:f>
      </x:c>
      <x:c r="M88" s="370" t="str">
        <x:f>IF(AND($E88&lt;&gt;"",$E88&lt;=M$5+6,$F88&gt;=M$5),"■","")</x:f>
      </x:c>
      <x:c r="N88" s="370" t="str">
        <x:f>IF(AND($E88&lt;&gt;"",$E88&lt;=N$5+6,$F88&gt;=N$5),"■","")</x:f>
      </x:c>
      <x:c r="O88" s="370" t="str">
        <x:f>IF(AND($E88&lt;&gt;"",$E88&lt;=O$5+6,$F88&gt;=O$5),"■","")</x:f>
      </x:c>
      <x:c r="P88" s="370" t="str">
        <x:f>IF(AND($E88&lt;&gt;"",$E88&lt;=P$5+6,$F88&gt;=P$5),"■","")</x:f>
      </x:c>
      <x:c r="Q88" s="370" t="str">
        <x:f>IF(AND($E88&lt;&gt;"",$E88&lt;=Q$5+6,$F88&gt;=Q$5),"■","")</x:f>
      </x:c>
      <x:c r="R88" s="370" t="str">
        <x:f>IF(AND($E88&lt;&gt;"",$E88&lt;=R$5+6,$F88&gt;=R$5),"■","")</x:f>
      </x:c>
      <x:c r="S88" s="370" t="str">
        <x:f>IF(AND($E88&lt;&gt;"",$E88&lt;=S$5+6,$F88&gt;=S$5),"■","")</x:f>
      </x:c>
      <x:c r="T88" s="370" t="str">
        <x:f>IF(AND($E88&lt;&gt;"",$E88&lt;=T$5+6,$F88&gt;=T$5),"■","")</x:f>
      </x:c>
      <x:c r="U88" s="370" t="str">
        <x:f>IF(AND($E88&lt;&gt;"",$E88&lt;=U$5+6,$F88&gt;=U$5),"■","")</x:f>
      </x:c>
      <x:c r="V88" s="370" t="str">
        <x:f>IF(AND($E88&lt;&gt;"",$E88&lt;=V$5+6,$F88&gt;=V$5),"■","")</x:f>
        <x:v>■</x:v>
      </x:c>
      <x:c r="W88" s="370" t="str">
        <x:f>IF(AND($E88&lt;&gt;"",$E88&lt;=W$5+6,$F88&gt;=W$5),"■","")</x:f>
      </x:c>
      <x:c r="X88" s="370" t="str">
        <x:f>IF(AND($E88&lt;&gt;"",$E88&lt;=X$5+6,$F88&gt;=X$5),"■","")</x:f>
      </x:c>
      <x:c r="Y88" s="370" t="str">
        <x:f>IF(AND($E88&lt;&gt;"",$E88&lt;=Y$5+6,$F88&gt;=Y$5),"■","")</x:f>
      </x:c>
      <x:c r="Z88" s="370" t="str">
        <x:f>IF(AND($E88&lt;&gt;"",$E88&lt;=Z$5+6,$F88&gt;=Z$5),"■","")</x:f>
      </x:c>
      <x:c r="AA88" s="370" t="str">
        <x:f>IF(AND($E88&lt;&gt;"",$E88&lt;=AA$5+6,$F88&gt;=AA$5),"■","")</x:f>
      </x:c>
      <x:c r="AB88" s="370" t="str">
        <x:f>IF(AND($E88&lt;&gt;"",$E88&lt;=AB$5+6,$F88&gt;=AB$5),"■","")</x:f>
      </x:c>
      <x:c r="AC88" s="370" t="str">
        <x:f>IF(AND($E88&lt;&gt;"",$E88&lt;=AC$5+6,$F88&gt;=AC$5),"■","")</x:f>
      </x:c>
      <x:c r="AD88" s="370" t="str">
        <x:f>IF(AND($E88&lt;&gt;"",$E88&lt;=AD$5+6,$F88&gt;=AD$5),"■","")</x:f>
      </x:c>
      <x:c r="AE88" s="370" t="str">
        <x:f>IF(AND($E88&lt;&gt;"",$E88&lt;=AE$5+6,$F88&gt;=AE$5),"■","")</x:f>
      </x:c>
      <x:c r="AF88" s="370" t="str">
        <x:f>IF(AND($E88&lt;&gt;"",$E88&lt;=AF$5+6,$F88&gt;=AF$5),"■","")</x:f>
      </x:c>
      <x:c r="AG88" s="370" t="str">
        <x:f>IF(AND($E88&lt;&gt;"",$E88&lt;=AG$5+6,$F88&gt;=AG$5),"■","")</x:f>
      </x:c>
      <x:c r="AH88" s="371" t="str">
        <x:f>IF(AND($E88&lt;&gt;"",$E88&lt;=AH$5+6,$F88&gt;=AH$5),"■","")</x:f>
      </x:c>
    </x:row>
    <x:row r="89" ht="38" customHeight="1">
      <x:c r="A89" s="466" t="str">
        <x:f>'作業計画'!A89</x:f>
        <x:v>00083</x:v>
      </x:c>
      <x:c r="B89" s="202" t="str">
        <x:f>'作業計画'!B89</x:f>
        <x:v>06.結合テスト</x:v>
      </x:c>
      <x:c r="C89" s="56" t="str">
        <x:f>'作業計画'!C89</x:f>
        <x:v>Bronze：既存テーブルを含む全体性能確認</x:v>
      </x:c>
      <x:c r="D89" s="56" t="str">
        <x:f>'作業計画'!D89</x:f>
        <x:v>テスト担当（要確定）</x:v>
      </x:c>
      <x:c r="E89" s="346" t="n">
        <x:f>IF('作業計画'!O89="","",'作業計画'!O89)</x:f>
        <x:v>46412</x:v>
      </x:c>
      <x:c r="F89" s="346" t="n">
        <x:f>IF('作業計画'!P89="","",'作業計画'!P89)</x:f>
        <x:v>46414</x:v>
      </x:c>
      <x:c r="G89" s="354" t="n">
        <x:f>'作業計画'!U89</x:f>
        <x:v>0</x:v>
      </x:c>
      <x:c r="H89" s="56" t="str">
        <x:f>'作業計画'!V89</x:f>
        <x:v>予定前</x:v>
      </x:c>
      <x:c r="I89" s="372" t="str">
        <x:f>IF(AND($E89&lt;&gt;"",$E89&lt;=I$5+6,$F89&gt;=I$5),"■","")</x:f>
      </x:c>
      <x:c r="J89" s="372" t="str">
        <x:f>IF(AND($E89&lt;&gt;"",$E89&lt;=J$5+6,$F89&gt;=J$5),"■","")</x:f>
      </x:c>
      <x:c r="K89" s="372" t="str">
        <x:f>IF(AND($E89&lt;&gt;"",$E89&lt;=K$5+6,$F89&gt;=K$5),"■","")</x:f>
      </x:c>
      <x:c r="L89" s="372" t="str">
        <x:f>IF(AND($E89&lt;&gt;"",$E89&lt;=L$5+6,$F89&gt;=L$5),"■","")</x:f>
      </x:c>
      <x:c r="M89" s="372" t="str">
        <x:f>IF(AND($E89&lt;&gt;"",$E89&lt;=M$5+6,$F89&gt;=M$5),"■","")</x:f>
      </x:c>
      <x:c r="N89" s="372" t="str">
        <x:f>IF(AND($E89&lt;&gt;"",$E89&lt;=N$5+6,$F89&gt;=N$5),"■","")</x:f>
      </x:c>
      <x:c r="O89" s="372" t="str">
        <x:f>IF(AND($E89&lt;&gt;"",$E89&lt;=O$5+6,$F89&gt;=O$5),"■","")</x:f>
      </x:c>
      <x:c r="P89" s="372" t="str">
        <x:f>IF(AND($E89&lt;&gt;"",$E89&lt;=P$5+6,$F89&gt;=P$5),"■","")</x:f>
      </x:c>
      <x:c r="Q89" s="372" t="str">
        <x:f>IF(AND($E89&lt;&gt;"",$E89&lt;=Q$5+6,$F89&gt;=Q$5),"■","")</x:f>
      </x:c>
      <x:c r="R89" s="372" t="str">
        <x:f>IF(AND($E89&lt;&gt;"",$E89&lt;=R$5+6,$F89&gt;=R$5),"■","")</x:f>
      </x:c>
      <x:c r="S89" s="372" t="str">
        <x:f>IF(AND($E89&lt;&gt;"",$E89&lt;=S$5+6,$F89&gt;=S$5),"■","")</x:f>
      </x:c>
      <x:c r="T89" s="372" t="str">
        <x:f>IF(AND($E89&lt;&gt;"",$E89&lt;=T$5+6,$F89&gt;=T$5),"■","")</x:f>
      </x:c>
      <x:c r="U89" s="372" t="str">
        <x:f>IF(AND($E89&lt;&gt;"",$E89&lt;=U$5+6,$F89&gt;=U$5),"■","")</x:f>
      </x:c>
      <x:c r="V89" s="372" t="str">
        <x:f>IF(AND($E89&lt;&gt;"",$E89&lt;=V$5+6,$F89&gt;=V$5),"■","")</x:f>
      </x:c>
      <x:c r="W89" s="372" t="str">
        <x:f>IF(AND($E89&lt;&gt;"",$E89&lt;=W$5+6,$F89&gt;=W$5),"■","")</x:f>
        <x:v>■</x:v>
      </x:c>
      <x:c r="X89" s="372" t="str">
        <x:f>IF(AND($E89&lt;&gt;"",$E89&lt;=X$5+6,$F89&gt;=X$5),"■","")</x:f>
      </x:c>
      <x:c r="Y89" s="372" t="str">
        <x:f>IF(AND($E89&lt;&gt;"",$E89&lt;=Y$5+6,$F89&gt;=Y$5),"■","")</x:f>
      </x:c>
      <x:c r="Z89" s="372" t="str">
        <x:f>IF(AND($E89&lt;&gt;"",$E89&lt;=Z$5+6,$F89&gt;=Z$5),"■","")</x:f>
      </x:c>
      <x:c r="AA89" s="372" t="str">
        <x:f>IF(AND($E89&lt;&gt;"",$E89&lt;=AA$5+6,$F89&gt;=AA$5),"■","")</x:f>
      </x:c>
      <x:c r="AB89" s="372" t="str">
        <x:f>IF(AND($E89&lt;&gt;"",$E89&lt;=AB$5+6,$F89&gt;=AB$5),"■","")</x:f>
      </x:c>
      <x:c r="AC89" s="372" t="str">
        <x:f>IF(AND($E89&lt;&gt;"",$E89&lt;=AC$5+6,$F89&gt;=AC$5),"■","")</x:f>
      </x:c>
      <x:c r="AD89" s="372" t="str">
        <x:f>IF(AND($E89&lt;&gt;"",$E89&lt;=AD$5+6,$F89&gt;=AD$5),"■","")</x:f>
      </x:c>
      <x:c r="AE89" s="372" t="str">
        <x:f>IF(AND($E89&lt;&gt;"",$E89&lt;=AE$5+6,$F89&gt;=AE$5),"■","")</x:f>
      </x:c>
      <x:c r="AF89" s="372" t="str">
        <x:f>IF(AND($E89&lt;&gt;"",$E89&lt;=AF$5+6,$F89&gt;=AF$5),"■","")</x:f>
      </x:c>
      <x:c r="AG89" s="372" t="str">
        <x:f>IF(AND($E89&lt;&gt;"",$E89&lt;=AG$5+6,$F89&gt;=AG$5),"■","")</x:f>
      </x:c>
      <x:c r="AH89" s="373" t="str">
        <x:f>IF(AND($E89&lt;&gt;"",$E89&lt;=AH$5+6,$F89&gt;=AH$5),"■","")</x:f>
      </x:c>
    </x:row>
    <x:row r="90" ht="38" customHeight="1">
      <x:c r="A90" s="465" t="str">
        <x:f>'作業計画'!A90</x:f>
        <x:v>00084</x:v>
      </x:c>
      <x:c r="B90" s="202" t="str">
        <x:f>'作業計画'!B90</x:f>
        <x:v>06.結合テスト</x:v>
      </x:c>
      <x:c r="C90" s="48" t="str">
        <x:f>'作業計画'!C90</x:f>
        <x:v>Silver：既存テーブルを含む全体性能確認</x:v>
      </x:c>
      <x:c r="D90" s="48" t="str">
        <x:f>'作業計画'!D90</x:f>
        <x:v>テスト担当（要確定）</x:v>
      </x:c>
      <x:c r="E90" s="345" t="n">
        <x:f>IF('作業計画'!O90="","",'作業計画'!O90)</x:f>
        <x:v>46415</x:v>
      </x:c>
      <x:c r="F90" s="345" t="n">
        <x:f>IF('作業計画'!P90="","",'作業計画'!P90)</x:f>
        <x:v>46419</x:v>
      </x:c>
      <x:c r="G90" s="353" t="n">
        <x:f>'作業計画'!U90</x:f>
        <x:v>0</x:v>
      </x:c>
      <x:c r="H90" s="48" t="str">
        <x:f>'作業計画'!V90</x:f>
        <x:v>予定前</x:v>
      </x:c>
      <x:c r="I90" s="370" t="str">
        <x:f>IF(AND($E90&lt;&gt;"",$E90&lt;=I$5+6,$F90&gt;=I$5),"■","")</x:f>
      </x:c>
      <x:c r="J90" s="370" t="str">
        <x:f>IF(AND($E90&lt;&gt;"",$E90&lt;=J$5+6,$F90&gt;=J$5),"■","")</x:f>
      </x:c>
      <x:c r="K90" s="370" t="str">
        <x:f>IF(AND($E90&lt;&gt;"",$E90&lt;=K$5+6,$F90&gt;=K$5),"■","")</x:f>
      </x:c>
      <x:c r="L90" s="370" t="str">
        <x:f>IF(AND($E90&lt;&gt;"",$E90&lt;=L$5+6,$F90&gt;=L$5),"■","")</x:f>
      </x:c>
      <x:c r="M90" s="370" t="str">
        <x:f>IF(AND($E90&lt;&gt;"",$E90&lt;=M$5+6,$F90&gt;=M$5),"■","")</x:f>
      </x:c>
      <x:c r="N90" s="370" t="str">
        <x:f>IF(AND($E90&lt;&gt;"",$E90&lt;=N$5+6,$F90&gt;=N$5),"■","")</x:f>
      </x:c>
      <x:c r="O90" s="370" t="str">
        <x:f>IF(AND($E90&lt;&gt;"",$E90&lt;=O$5+6,$F90&gt;=O$5),"■","")</x:f>
      </x:c>
      <x:c r="P90" s="370" t="str">
        <x:f>IF(AND($E90&lt;&gt;"",$E90&lt;=P$5+6,$F90&gt;=P$5),"■","")</x:f>
      </x:c>
      <x:c r="Q90" s="370" t="str">
        <x:f>IF(AND($E90&lt;&gt;"",$E90&lt;=Q$5+6,$F90&gt;=Q$5),"■","")</x:f>
      </x:c>
      <x:c r="R90" s="370" t="str">
        <x:f>IF(AND($E90&lt;&gt;"",$E90&lt;=R$5+6,$F90&gt;=R$5),"■","")</x:f>
      </x:c>
      <x:c r="S90" s="370" t="str">
        <x:f>IF(AND($E90&lt;&gt;"",$E90&lt;=S$5+6,$F90&gt;=S$5),"■","")</x:f>
      </x:c>
      <x:c r="T90" s="370" t="str">
        <x:f>IF(AND($E90&lt;&gt;"",$E90&lt;=T$5+6,$F90&gt;=T$5),"■","")</x:f>
      </x:c>
      <x:c r="U90" s="370" t="str">
        <x:f>IF(AND($E90&lt;&gt;"",$E90&lt;=U$5+6,$F90&gt;=U$5),"■","")</x:f>
      </x:c>
      <x:c r="V90" s="370" t="str">
        <x:f>IF(AND($E90&lt;&gt;"",$E90&lt;=V$5+6,$F90&gt;=V$5),"■","")</x:f>
      </x:c>
      <x:c r="W90" s="370" t="str">
        <x:f>IF(AND($E90&lt;&gt;"",$E90&lt;=W$5+6,$F90&gt;=W$5),"■","")</x:f>
        <x:v>■</x:v>
      </x:c>
      <x:c r="X90" s="370" t="str">
        <x:f>IF(AND($E90&lt;&gt;"",$E90&lt;=X$5+6,$F90&gt;=X$5),"■","")</x:f>
        <x:v>■</x:v>
      </x:c>
      <x:c r="Y90" s="370" t="str">
        <x:f>IF(AND($E90&lt;&gt;"",$E90&lt;=Y$5+6,$F90&gt;=Y$5),"■","")</x:f>
      </x:c>
      <x:c r="Z90" s="370" t="str">
        <x:f>IF(AND($E90&lt;&gt;"",$E90&lt;=Z$5+6,$F90&gt;=Z$5),"■","")</x:f>
      </x:c>
      <x:c r="AA90" s="370" t="str">
        <x:f>IF(AND($E90&lt;&gt;"",$E90&lt;=AA$5+6,$F90&gt;=AA$5),"■","")</x:f>
      </x:c>
      <x:c r="AB90" s="370" t="str">
        <x:f>IF(AND($E90&lt;&gt;"",$E90&lt;=AB$5+6,$F90&gt;=AB$5),"■","")</x:f>
      </x:c>
      <x:c r="AC90" s="370" t="str">
        <x:f>IF(AND($E90&lt;&gt;"",$E90&lt;=AC$5+6,$F90&gt;=AC$5),"■","")</x:f>
      </x:c>
      <x:c r="AD90" s="370" t="str">
        <x:f>IF(AND($E90&lt;&gt;"",$E90&lt;=AD$5+6,$F90&gt;=AD$5),"■","")</x:f>
      </x:c>
      <x:c r="AE90" s="370" t="str">
        <x:f>IF(AND($E90&lt;&gt;"",$E90&lt;=AE$5+6,$F90&gt;=AE$5),"■","")</x:f>
      </x:c>
      <x:c r="AF90" s="370" t="str">
        <x:f>IF(AND($E90&lt;&gt;"",$E90&lt;=AF$5+6,$F90&gt;=AF$5),"■","")</x:f>
      </x:c>
      <x:c r="AG90" s="370" t="str">
        <x:f>IF(AND($E90&lt;&gt;"",$E90&lt;=AG$5+6,$F90&gt;=AG$5),"■","")</x:f>
      </x:c>
      <x:c r="AH90" s="371" t="str">
        <x:f>IF(AND($E90&lt;&gt;"",$E90&lt;=AH$5+6,$F90&gt;=AH$5),"■","")</x:f>
      </x:c>
    </x:row>
    <x:row r="91" ht="38" customHeight="1">
      <x:c r="A91" s="466" t="str">
        <x:f>'作業計画'!A91</x:f>
        <x:v>00085</x:v>
      </x:c>
      <x:c r="B91" s="202" t="str">
        <x:f>'作業計画'!B91</x:f>
        <x:v>06.結合テスト</x:v>
      </x:c>
      <x:c r="C91" s="56" t="str">
        <x:f>'作業計画'!C91</x:f>
        <x:v>Output：出力・Dataverse連携の性能確認</x:v>
      </x:c>
      <x:c r="D91" s="56" t="str">
        <x:f>'作業計画'!D91</x:f>
        <x:v>テスト担当（要確定）</x:v>
      </x:c>
      <x:c r="E91" s="346" t="n">
        <x:f>IF('作業計画'!O91="","",'作業計画'!O91)</x:f>
        <x:v>46420</x:v>
      </x:c>
      <x:c r="F91" s="346" t="n">
        <x:f>IF('作業計画'!P91="","",'作業計画'!P91)</x:f>
        <x:v>46422</x:v>
      </x:c>
      <x:c r="G91" s="354" t="n">
        <x:f>'作業計画'!U91</x:f>
        <x:v>0</x:v>
      </x:c>
      <x:c r="H91" s="56" t="str">
        <x:f>'作業計画'!V91</x:f>
        <x:v>予定前</x:v>
      </x:c>
      <x:c r="I91" s="372" t="str">
        <x:f>IF(AND($E91&lt;&gt;"",$E91&lt;=I$5+6,$F91&gt;=I$5),"■","")</x:f>
      </x:c>
      <x:c r="J91" s="372" t="str">
        <x:f>IF(AND($E91&lt;&gt;"",$E91&lt;=J$5+6,$F91&gt;=J$5),"■","")</x:f>
      </x:c>
      <x:c r="K91" s="372" t="str">
        <x:f>IF(AND($E91&lt;&gt;"",$E91&lt;=K$5+6,$F91&gt;=K$5),"■","")</x:f>
      </x:c>
      <x:c r="L91" s="372" t="str">
        <x:f>IF(AND($E91&lt;&gt;"",$E91&lt;=L$5+6,$F91&gt;=L$5),"■","")</x:f>
      </x:c>
      <x:c r="M91" s="372" t="str">
        <x:f>IF(AND($E91&lt;&gt;"",$E91&lt;=M$5+6,$F91&gt;=M$5),"■","")</x:f>
      </x:c>
      <x:c r="N91" s="372" t="str">
        <x:f>IF(AND($E91&lt;&gt;"",$E91&lt;=N$5+6,$F91&gt;=N$5),"■","")</x:f>
      </x:c>
      <x:c r="O91" s="372" t="str">
        <x:f>IF(AND($E91&lt;&gt;"",$E91&lt;=O$5+6,$F91&gt;=O$5),"■","")</x:f>
      </x:c>
      <x:c r="P91" s="372" t="str">
        <x:f>IF(AND($E91&lt;&gt;"",$E91&lt;=P$5+6,$F91&gt;=P$5),"■","")</x:f>
      </x:c>
      <x:c r="Q91" s="372" t="str">
        <x:f>IF(AND($E91&lt;&gt;"",$E91&lt;=Q$5+6,$F91&gt;=Q$5),"■","")</x:f>
      </x:c>
      <x:c r="R91" s="372" t="str">
        <x:f>IF(AND($E91&lt;&gt;"",$E91&lt;=R$5+6,$F91&gt;=R$5),"■","")</x:f>
      </x:c>
      <x:c r="S91" s="372" t="str">
        <x:f>IF(AND($E91&lt;&gt;"",$E91&lt;=S$5+6,$F91&gt;=S$5),"■","")</x:f>
      </x:c>
      <x:c r="T91" s="372" t="str">
        <x:f>IF(AND($E91&lt;&gt;"",$E91&lt;=T$5+6,$F91&gt;=T$5),"■","")</x:f>
      </x:c>
      <x:c r="U91" s="372" t="str">
        <x:f>IF(AND($E91&lt;&gt;"",$E91&lt;=U$5+6,$F91&gt;=U$5),"■","")</x:f>
      </x:c>
      <x:c r="V91" s="372" t="str">
        <x:f>IF(AND($E91&lt;&gt;"",$E91&lt;=V$5+6,$F91&gt;=V$5),"■","")</x:f>
      </x:c>
      <x:c r="W91" s="372" t="str">
        <x:f>IF(AND($E91&lt;&gt;"",$E91&lt;=W$5+6,$F91&gt;=W$5),"■","")</x:f>
      </x:c>
      <x:c r="X91" s="372" t="str">
        <x:f>IF(AND($E91&lt;&gt;"",$E91&lt;=X$5+6,$F91&gt;=X$5),"■","")</x:f>
        <x:v>■</x:v>
      </x:c>
      <x:c r="Y91" s="372" t="str">
        <x:f>IF(AND($E91&lt;&gt;"",$E91&lt;=Y$5+6,$F91&gt;=Y$5),"■","")</x:f>
      </x:c>
      <x:c r="Z91" s="372" t="str">
        <x:f>IF(AND($E91&lt;&gt;"",$E91&lt;=Z$5+6,$F91&gt;=Z$5),"■","")</x:f>
      </x:c>
      <x:c r="AA91" s="372" t="str">
        <x:f>IF(AND($E91&lt;&gt;"",$E91&lt;=AA$5+6,$F91&gt;=AA$5),"■","")</x:f>
      </x:c>
      <x:c r="AB91" s="372" t="str">
        <x:f>IF(AND($E91&lt;&gt;"",$E91&lt;=AB$5+6,$F91&gt;=AB$5),"■","")</x:f>
      </x:c>
      <x:c r="AC91" s="372" t="str">
        <x:f>IF(AND($E91&lt;&gt;"",$E91&lt;=AC$5+6,$F91&gt;=AC$5),"■","")</x:f>
      </x:c>
      <x:c r="AD91" s="372" t="str">
        <x:f>IF(AND($E91&lt;&gt;"",$E91&lt;=AD$5+6,$F91&gt;=AD$5),"■","")</x:f>
      </x:c>
      <x:c r="AE91" s="372" t="str">
        <x:f>IF(AND($E91&lt;&gt;"",$E91&lt;=AE$5+6,$F91&gt;=AE$5),"■","")</x:f>
      </x:c>
      <x:c r="AF91" s="372" t="str">
        <x:f>IF(AND($E91&lt;&gt;"",$E91&lt;=AF$5+6,$F91&gt;=AF$5),"■","")</x:f>
      </x:c>
      <x:c r="AG91" s="372" t="str">
        <x:f>IF(AND($E91&lt;&gt;"",$E91&lt;=AG$5+6,$F91&gt;=AG$5),"■","")</x:f>
      </x:c>
      <x:c r="AH91" s="373" t="str">
        <x:f>IF(AND($E91&lt;&gt;"",$E91&lt;=AH$5+6,$F91&gt;=AH$5),"■","")</x:f>
      </x:c>
    </x:row>
    <x:row r="92" ht="38" customHeight="1">
      <x:c r="A92" s="465" t="str">
        <x:f>'作業計画'!A92</x:f>
        <x:v>00086</x:v>
      </x:c>
      <x:c r="B92" s="202" t="str">
        <x:f>'作業計画'!B92</x:f>
        <x:v>06.結合テスト</x:v>
      </x:c>
      <x:c r="C92" s="48" t="str">
        <x:f>'作業計画'!C92</x:f>
        <x:v>結合シナリオ：初回全件連携の確認</x:v>
      </x:c>
      <x:c r="D92" s="48" t="str">
        <x:f>'作業計画'!D92</x:f>
        <x:v>テスト担当（要確定）</x:v>
      </x:c>
      <x:c r="E92" s="345" t="n">
        <x:f>IF('作業計画'!O92="","",'作業計画'!O92)</x:f>
        <x:v>46423</x:v>
      </x:c>
      <x:c r="F92" s="345" t="n">
        <x:f>IF('作業計画'!P92="","",'作業計画'!P92)</x:f>
        <x:v>46426</x:v>
      </x:c>
      <x:c r="G92" s="353" t="n">
        <x:f>'作業計画'!U92</x:f>
        <x:v>0</x:v>
      </x:c>
      <x:c r="H92" s="48" t="str">
        <x:f>'作業計画'!V92</x:f>
        <x:v>予定前</x:v>
      </x:c>
      <x:c r="I92" s="370" t="str">
        <x:f>IF(AND($E92&lt;&gt;"",$E92&lt;=I$5+6,$F92&gt;=I$5),"■","")</x:f>
      </x:c>
      <x:c r="J92" s="370" t="str">
        <x:f>IF(AND($E92&lt;&gt;"",$E92&lt;=J$5+6,$F92&gt;=J$5),"■","")</x:f>
      </x:c>
      <x:c r="K92" s="370" t="str">
        <x:f>IF(AND($E92&lt;&gt;"",$E92&lt;=K$5+6,$F92&gt;=K$5),"■","")</x:f>
      </x:c>
      <x:c r="L92" s="370" t="str">
        <x:f>IF(AND($E92&lt;&gt;"",$E92&lt;=L$5+6,$F92&gt;=L$5),"■","")</x:f>
      </x:c>
      <x:c r="M92" s="370" t="str">
        <x:f>IF(AND($E92&lt;&gt;"",$E92&lt;=M$5+6,$F92&gt;=M$5),"■","")</x:f>
      </x:c>
      <x:c r="N92" s="370" t="str">
        <x:f>IF(AND($E92&lt;&gt;"",$E92&lt;=N$5+6,$F92&gt;=N$5),"■","")</x:f>
      </x:c>
      <x:c r="O92" s="370" t="str">
        <x:f>IF(AND($E92&lt;&gt;"",$E92&lt;=O$5+6,$F92&gt;=O$5),"■","")</x:f>
      </x:c>
      <x:c r="P92" s="370" t="str">
        <x:f>IF(AND($E92&lt;&gt;"",$E92&lt;=P$5+6,$F92&gt;=P$5),"■","")</x:f>
      </x:c>
      <x:c r="Q92" s="370" t="str">
        <x:f>IF(AND($E92&lt;&gt;"",$E92&lt;=Q$5+6,$F92&gt;=Q$5),"■","")</x:f>
      </x:c>
      <x:c r="R92" s="370" t="str">
        <x:f>IF(AND($E92&lt;&gt;"",$E92&lt;=R$5+6,$F92&gt;=R$5),"■","")</x:f>
      </x:c>
      <x:c r="S92" s="370" t="str">
        <x:f>IF(AND($E92&lt;&gt;"",$E92&lt;=S$5+6,$F92&gt;=S$5),"■","")</x:f>
      </x:c>
      <x:c r="T92" s="370" t="str">
        <x:f>IF(AND($E92&lt;&gt;"",$E92&lt;=T$5+6,$F92&gt;=T$5),"■","")</x:f>
      </x:c>
      <x:c r="U92" s="370" t="str">
        <x:f>IF(AND($E92&lt;&gt;"",$E92&lt;=U$5+6,$F92&gt;=U$5),"■","")</x:f>
      </x:c>
      <x:c r="V92" s="370" t="str">
        <x:f>IF(AND($E92&lt;&gt;"",$E92&lt;=V$5+6,$F92&gt;=V$5),"■","")</x:f>
      </x:c>
      <x:c r="W92" s="370" t="str">
        <x:f>IF(AND($E92&lt;&gt;"",$E92&lt;=W$5+6,$F92&gt;=W$5),"■","")</x:f>
      </x:c>
      <x:c r="X92" s="370" t="str">
        <x:f>IF(AND($E92&lt;&gt;"",$E92&lt;=X$5+6,$F92&gt;=X$5),"■","")</x:f>
        <x:v>■</x:v>
      </x:c>
      <x:c r="Y92" s="370" t="str">
        <x:f>IF(AND($E92&lt;&gt;"",$E92&lt;=Y$5+6,$F92&gt;=Y$5),"■","")</x:f>
        <x:v>■</x:v>
      </x:c>
      <x:c r="Z92" s="370" t="str">
        <x:f>IF(AND($E92&lt;&gt;"",$E92&lt;=Z$5+6,$F92&gt;=Z$5),"■","")</x:f>
      </x:c>
      <x:c r="AA92" s="370" t="str">
        <x:f>IF(AND($E92&lt;&gt;"",$E92&lt;=AA$5+6,$F92&gt;=AA$5),"■","")</x:f>
      </x:c>
      <x:c r="AB92" s="370" t="str">
        <x:f>IF(AND($E92&lt;&gt;"",$E92&lt;=AB$5+6,$F92&gt;=AB$5),"■","")</x:f>
      </x:c>
      <x:c r="AC92" s="370" t="str">
        <x:f>IF(AND($E92&lt;&gt;"",$E92&lt;=AC$5+6,$F92&gt;=AC$5),"■","")</x:f>
      </x:c>
      <x:c r="AD92" s="370" t="str">
        <x:f>IF(AND($E92&lt;&gt;"",$E92&lt;=AD$5+6,$F92&gt;=AD$5),"■","")</x:f>
      </x:c>
      <x:c r="AE92" s="370" t="str">
        <x:f>IF(AND($E92&lt;&gt;"",$E92&lt;=AE$5+6,$F92&gt;=AE$5),"■","")</x:f>
      </x:c>
      <x:c r="AF92" s="370" t="str">
        <x:f>IF(AND($E92&lt;&gt;"",$E92&lt;=AF$5+6,$F92&gt;=AF$5),"■","")</x:f>
      </x:c>
      <x:c r="AG92" s="370" t="str">
        <x:f>IF(AND($E92&lt;&gt;"",$E92&lt;=AG$5+6,$F92&gt;=AG$5),"■","")</x:f>
      </x:c>
      <x:c r="AH92" s="371" t="str">
        <x:f>IF(AND($E92&lt;&gt;"",$E92&lt;=AH$5+6,$F92&gt;=AH$5),"■","")</x:f>
      </x:c>
    </x:row>
    <x:row r="93" ht="38" customHeight="1">
      <x:c r="A93" s="466" t="str">
        <x:f>'作業計画'!A93</x:f>
        <x:v>00087</x:v>
      </x:c>
      <x:c r="B93" s="202" t="str">
        <x:f>'作業計画'!B93</x:f>
        <x:v>06.結合テスト</x:v>
      </x:c>
      <x:c r="C93" s="56" t="str">
        <x:f>'作業計画'!C93</x:f>
        <x:v>結合シナリオ：差分更新・Watermark連動確認</x:v>
      </x:c>
      <x:c r="D93" s="56" t="str">
        <x:f>'作業計画'!D93</x:f>
        <x:v>テスト担当（要確定）</x:v>
      </x:c>
      <x:c r="E93" s="346" t="n">
        <x:f>IF('作業計画'!O93="","",'作業計画'!O93)</x:f>
        <x:v>46427</x:v>
      </x:c>
      <x:c r="F93" s="346" t="n">
        <x:f>IF('作業計画'!P93="","",'作業計画'!P93)</x:f>
        <x:v>46428</x:v>
      </x:c>
      <x:c r="G93" s="354" t="n">
        <x:f>'作業計画'!U93</x:f>
        <x:v>0</x:v>
      </x:c>
      <x:c r="H93" s="56" t="str">
        <x:f>'作業計画'!V93</x:f>
        <x:v>予定前</x:v>
      </x:c>
      <x:c r="I93" s="372" t="str">
        <x:f>IF(AND($E93&lt;&gt;"",$E93&lt;=I$5+6,$F93&gt;=I$5),"■","")</x:f>
      </x:c>
      <x:c r="J93" s="372" t="str">
        <x:f>IF(AND($E93&lt;&gt;"",$E93&lt;=J$5+6,$F93&gt;=J$5),"■","")</x:f>
      </x:c>
      <x:c r="K93" s="372" t="str">
        <x:f>IF(AND($E93&lt;&gt;"",$E93&lt;=K$5+6,$F93&gt;=K$5),"■","")</x:f>
      </x:c>
      <x:c r="L93" s="372" t="str">
        <x:f>IF(AND($E93&lt;&gt;"",$E93&lt;=L$5+6,$F93&gt;=L$5),"■","")</x:f>
      </x:c>
      <x:c r="M93" s="372" t="str">
        <x:f>IF(AND($E93&lt;&gt;"",$E93&lt;=M$5+6,$F93&gt;=M$5),"■","")</x:f>
      </x:c>
      <x:c r="N93" s="372" t="str">
        <x:f>IF(AND($E93&lt;&gt;"",$E93&lt;=N$5+6,$F93&gt;=N$5),"■","")</x:f>
      </x:c>
      <x:c r="O93" s="372" t="str">
        <x:f>IF(AND($E93&lt;&gt;"",$E93&lt;=O$5+6,$F93&gt;=O$5),"■","")</x:f>
      </x:c>
      <x:c r="P93" s="372" t="str">
        <x:f>IF(AND($E93&lt;&gt;"",$E93&lt;=P$5+6,$F93&gt;=P$5),"■","")</x:f>
      </x:c>
      <x:c r="Q93" s="372" t="str">
        <x:f>IF(AND($E93&lt;&gt;"",$E93&lt;=Q$5+6,$F93&gt;=Q$5),"■","")</x:f>
      </x:c>
      <x:c r="R93" s="372" t="str">
        <x:f>IF(AND($E93&lt;&gt;"",$E93&lt;=R$5+6,$F93&gt;=R$5),"■","")</x:f>
      </x:c>
      <x:c r="S93" s="372" t="str">
        <x:f>IF(AND($E93&lt;&gt;"",$E93&lt;=S$5+6,$F93&gt;=S$5),"■","")</x:f>
      </x:c>
      <x:c r="T93" s="372" t="str">
        <x:f>IF(AND($E93&lt;&gt;"",$E93&lt;=T$5+6,$F93&gt;=T$5),"■","")</x:f>
      </x:c>
      <x:c r="U93" s="372" t="str">
        <x:f>IF(AND($E93&lt;&gt;"",$E93&lt;=U$5+6,$F93&gt;=U$5),"■","")</x:f>
      </x:c>
      <x:c r="V93" s="372" t="str">
        <x:f>IF(AND($E93&lt;&gt;"",$E93&lt;=V$5+6,$F93&gt;=V$5),"■","")</x:f>
      </x:c>
      <x:c r="W93" s="372" t="str">
        <x:f>IF(AND($E93&lt;&gt;"",$E93&lt;=W$5+6,$F93&gt;=W$5),"■","")</x:f>
      </x:c>
      <x:c r="X93" s="372" t="str">
        <x:f>IF(AND($E93&lt;&gt;"",$E93&lt;=X$5+6,$F93&gt;=X$5),"■","")</x:f>
      </x:c>
      <x:c r="Y93" s="372" t="str">
        <x:f>IF(AND($E93&lt;&gt;"",$E93&lt;=Y$5+6,$F93&gt;=Y$5),"■","")</x:f>
        <x:v>■</x:v>
      </x:c>
      <x:c r="Z93" s="372" t="str">
        <x:f>IF(AND($E93&lt;&gt;"",$E93&lt;=Z$5+6,$F93&gt;=Z$5),"■","")</x:f>
      </x:c>
      <x:c r="AA93" s="372" t="str">
        <x:f>IF(AND($E93&lt;&gt;"",$E93&lt;=AA$5+6,$F93&gt;=AA$5),"■","")</x:f>
      </x:c>
      <x:c r="AB93" s="372" t="str">
        <x:f>IF(AND($E93&lt;&gt;"",$E93&lt;=AB$5+6,$F93&gt;=AB$5),"■","")</x:f>
      </x:c>
      <x:c r="AC93" s="372" t="str">
        <x:f>IF(AND($E93&lt;&gt;"",$E93&lt;=AC$5+6,$F93&gt;=AC$5),"■","")</x:f>
      </x:c>
      <x:c r="AD93" s="372" t="str">
        <x:f>IF(AND($E93&lt;&gt;"",$E93&lt;=AD$5+6,$F93&gt;=AD$5),"■","")</x:f>
      </x:c>
      <x:c r="AE93" s="372" t="str">
        <x:f>IF(AND($E93&lt;&gt;"",$E93&lt;=AE$5+6,$F93&gt;=AE$5),"■","")</x:f>
      </x:c>
      <x:c r="AF93" s="372" t="str">
        <x:f>IF(AND($E93&lt;&gt;"",$E93&lt;=AF$5+6,$F93&gt;=AF$5),"■","")</x:f>
      </x:c>
      <x:c r="AG93" s="372" t="str">
        <x:f>IF(AND($E93&lt;&gt;"",$E93&lt;=AG$5+6,$F93&gt;=AG$5),"■","")</x:f>
      </x:c>
      <x:c r="AH93" s="373" t="str">
        <x:f>IF(AND($E93&lt;&gt;"",$E93&lt;=AH$5+6,$F93&gt;=AH$5),"■","")</x:f>
      </x:c>
    </x:row>
    <x:row r="94" ht="38" customHeight="1">
      <x:c r="A94" s="465" t="str">
        <x:f>'作業計画'!A94</x:f>
        <x:v>00088</x:v>
      </x:c>
      <x:c r="B94" s="202" t="str">
        <x:f>'作業計画'!B94</x:f>
        <x:v>06.結合テスト</x:v>
      </x:c>
      <x:c r="C94" s="48" t="str">
        <x:f>'作業計画'!C94</x:f>
        <x:v>結合シナリオ：再実行・重複・更新順確認</x:v>
      </x:c>
      <x:c r="D94" s="48" t="str">
        <x:f>'作業計画'!D94</x:f>
        <x:v>テスト担当（要確定）</x:v>
      </x:c>
      <x:c r="E94" s="345" t="n">
        <x:f>IF('作業計画'!O94="","",'作業計画'!O94)</x:f>
        <x:v>46429</x:v>
      </x:c>
      <x:c r="F94" s="345" t="n">
        <x:f>IF('作業計画'!P94="","",'作業計画'!P94)</x:f>
        <x:v>46430</x:v>
      </x:c>
      <x:c r="G94" s="353" t="n">
        <x:f>'作業計画'!U94</x:f>
        <x:v>0</x:v>
      </x:c>
      <x:c r="H94" s="48" t="str">
        <x:f>'作業計画'!V94</x:f>
        <x:v>予定前</x:v>
      </x:c>
      <x:c r="I94" s="370" t="str">
        <x:f>IF(AND($E94&lt;&gt;"",$E94&lt;=I$5+6,$F94&gt;=I$5),"■","")</x:f>
      </x:c>
      <x:c r="J94" s="370" t="str">
        <x:f>IF(AND($E94&lt;&gt;"",$E94&lt;=J$5+6,$F94&gt;=J$5),"■","")</x:f>
      </x:c>
      <x:c r="K94" s="370" t="str">
        <x:f>IF(AND($E94&lt;&gt;"",$E94&lt;=K$5+6,$F94&gt;=K$5),"■","")</x:f>
      </x:c>
      <x:c r="L94" s="370" t="str">
        <x:f>IF(AND($E94&lt;&gt;"",$E94&lt;=L$5+6,$F94&gt;=L$5),"■","")</x:f>
      </x:c>
      <x:c r="M94" s="370" t="str">
        <x:f>IF(AND($E94&lt;&gt;"",$E94&lt;=M$5+6,$F94&gt;=M$5),"■","")</x:f>
      </x:c>
      <x:c r="N94" s="370" t="str">
        <x:f>IF(AND($E94&lt;&gt;"",$E94&lt;=N$5+6,$F94&gt;=N$5),"■","")</x:f>
      </x:c>
      <x:c r="O94" s="370" t="str">
        <x:f>IF(AND($E94&lt;&gt;"",$E94&lt;=O$5+6,$F94&gt;=O$5),"■","")</x:f>
      </x:c>
      <x:c r="P94" s="370" t="str">
        <x:f>IF(AND($E94&lt;&gt;"",$E94&lt;=P$5+6,$F94&gt;=P$5),"■","")</x:f>
      </x:c>
      <x:c r="Q94" s="370" t="str">
        <x:f>IF(AND($E94&lt;&gt;"",$E94&lt;=Q$5+6,$F94&gt;=Q$5),"■","")</x:f>
      </x:c>
      <x:c r="R94" s="370" t="str">
        <x:f>IF(AND($E94&lt;&gt;"",$E94&lt;=R$5+6,$F94&gt;=R$5),"■","")</x:f>
      </x:c>
      <x:c r="S94" s="370" t="str">
        <x:f>IF(AND($E94&lt;&gt;"",$E94&lt;=S$5+6,$F94&gt;=S$5),"■","")</x:f>
      </x:c>
      <x:c r="T94" s="370" t="str">
        <x:f>IF(AND($E94&lt;&gt;"",$E94&lt;=T$5+6,$F94&gt;=T$5),"■","")</x:f>
      </x:c>
      <x:c r="U94" s="370" t="str">
        <x:f>IF(AND($E94&lt;&gt;"",$E94&lt;=U$5+6,$F94&gt;=U$5),"■","")</x:f>
      </x:c>
      <x:c r="V94" s="370" t="str">
        <x:f>IF(AND($E94&lt;&gt;"",$E94&lt;=V$5+6,$F94&gt;=V$5),"■","")</x:f>
      </x:c>
      <x:c r="W94" s="370" t="str">
        <x:f>IF(AND($E94&lt;&gt;"",$E94&lt;=W$5+6,$F94&gt;=W$5),"■","")</x:f>
      </x:c>
      <x:c r="X94" s="370" t="str">
        <x:f>IF(AND($E94&lt;&gt;"",$E94&lt;=X$5+6,$F94&gt;=X$5),"■","")</x:f>
      </x:c>
      <x:c r="Y94" s="370" t="str">
        <x:f>IF(AND($E94&lt;&gt;"",$E94&lt;=Y$5+6,$F94&gt;=Y$5),"■","")</x:f>
        <x:v>■</x:v>
      </x:c>
      <x:c r="Z94" s="370" t="str">
        <x:f>IF(AND($E94&lt;&gt;"",$E94&lt;=Z$5+6,$F94&gt;=Z$5),"■","")</x:f>
      </x:c>
      <x:c r="AA94" s="370" t="str">
        <x:f>IF(AND($E94&lt;&gt;"",$E94&lt;=AA$5+6,$F94&gt;=AA$5),"■","")</x:f>
      </x:c>
      <x:c r="AB94" s="370" t="str">
        <x:f>IF(AND($E94&lt;&gt;"",$E94&lt;=AB$5+6,$F94&gt;=AB$5),"■","")</x:f>
      </x:c>
      <x:c r="AC94" s="370" t="str">
        <x:f>IF(AND($E94&lt;&gt;"",$E94&lt;=AC$5+6,$F94&gt;=AC$5),"■","")</x:f>
      </x:c>
      <x:c r="AD94" s="370" t="str">
        <x:f>IF(AND($E94&lt;&gt;"",$E94&lt;=AD$5+6,$F94&gt;=AD$5),"■","")</x:f>
      </x:c>
      <x:c r="AE94" s="370" t="str">
        <x:f>IF(AND($E94&lt;&gt;"",$E94&lt;=AE$5+6,$F94&gt;=AE$5),"■","")</x:f>
      </x:c>
      <x:c r="AF94" s="370" t="str">
        <x:f>IF(AND($E94&lt;&gt;"",$E94&lt;=AF$5+6,$F94&gt;=AF$5),"■","")</x:f>
      </x:c>
      <x:c r="AG94" s="370" t="str">
        <x:f>IF(AND($E94&lt;&gt;"",$E94&lt;=AG$5+6,$F94&gt;=AG$5),"■","")</x:f>
      </x:c>
      <x:c r="AH94" s="371" t="str">
        <x:f>IF(AND($E94&lt;&gt;"",$E94&lt;=AH$5+6,$F94&gt;=AH$5),"■","")</x:f>
      </x:c>
    </x:row>
    <x:row r="95" ht="38" customHeight="1">
      <x:c r="A95" s="466" t="str">
        <x:f>'作業計画'!A95</x:f>
        <x:v>00089</x:v>
      </x:c>
      <x:c r="B95" s="202" t="str">
        <x:f>'作業計画'!B95</x:f>
        <x:v>06.結合テスト</x:v>
      </x:c>
      <x:c r="C95" s="56" t="str">
        <x:f>'作業計画'!C95</x:f>
        <x:v>例外対応：異常検知・メール通知確認</x:v>
      </x:c>
      <x:c r="D95" s="56" t="str">
        <x:f>'作業計画'!D95</x:f>
        <x:v>テスト／運用担当（要確定）</x:v>
      </x:c>
      <x:c r="E95" s="346" t="n">
        <x:f>IF('作業計画'!O95="","",'作業計画'!O95)</x:f>
        <x:v>46433</x:v>
      </x:c>
      <x:c r="F95" s="346" t="n">
        <x:f>IF('作業計画'!P95="","",'作業計画'!P95)</x:f>
        <x:v>46434</x:v>
      </x:c>
      <x:c r="G95" s="354" t="n">
        <x:f>'作業計画'!U95</x:f>
        <x:v>0</x:v>
      </x:c>
      <x:c r="H95" s="56" t="str">
        <x:f>'作業計画'!V95</x:f>
        <x:v>予定前</x:v>
      </x:c>
      <x:c r="I95" s="372" t="str">
        <x:f>IF(AND($E95&lt;&gt;"",$E95&lt;=I$5+6,$F95&gt;=I$5),"■","")</x:f>
      </x:c>
      <x:c r="J95" s="372" t="str">
        <x:f>IF(AND($E95&lt;&gt;"",$E95&lt;=J$5+6,$F95&gt;=J$5),"■","")</x:f>
      </x:c>
      <x:c r="K95" s="372" t="str">
        <x:f>IF(AND($E95&lt;&gt;"",$E95&lt;=K$5+6,$F95&gt;=K$5),"■","")</x:f>
      </x:c>
      <x:c r="L95" s="372" t="str">
        <x:f>IF(AND($E95&lt;&gt;"",$E95&lt;=L$5+6,$F95&gt;=L$5),"■","")</x:f>
      </x:c>
      <x:c r="M95" s="372" t="str">
        <x:f>IF(AND($E95&lt;&gt;"",$E95&lt;=M$5+6,$F95&gt;=M$5),"■","")</x:f>
      </x:c>
      <x:c r="N95" s="372" t="str">
        <x:f>IF(AND($E95&lt;&gt;"",$E95&lt;=N$5+6,$F95&gt;=N$5),"■","")</x:f>
      </x:c>
      <x:c r="O95" s="372" t="str">
        <x:f>IF(AND($E95&lt;&gt;"",$E95&lt;=O$5+6,$F95&gt;=O$5),"■","")</x:f>
      </x:c>
      <x:c r="P95" s="372" t="str">
        <x:f>IF(AND($E95&lt;&gt;"",$E95&lt;=P$5+6,$F95&gt;=P$5),"■","")</x:f>
      </x:c>
      <x:c r="Q95" s="372" t="str">
        <x:f>IF(AND($E95&lt;&gt;"",$E95&lt;=Q$5+6,$F95&gt;=Q$5),"■","")</x:f>
      </x:c>
      <x:c r="R95" s="372" t="str">
        <x:f>IF(AND($E95&lt;&gt;"",$E95&lt;=R$5+6,$F95&gt;=R$5),"■","")</x:f>
      </x:c>
      <x:c r="S95" s="372" t="str">
        <x:f>IF(AND($E95&lt;&gt;"",$E95&lt;=S$5+6,$F95&gt;=S$5),"■","")</x:f>
      </x:c>
      <x:c r="T95" s="372" t="str">
        <x:f>IF(AND($E95&lt;&gt;"",$E95&lt;=T$5+6,$F95&gt;=T$5),"■","")</x:f>
      </x:c>
      <x:c r="U95" s="372" t="str">
        <x:f>IF(AND($E95&lt;&gt;"",$E95&lt;=U$5+6,$F95&gt;=U$5),"■","")</x:f>
      </x:c>
      <x:c r="V95" s="372" t="str">
        <x:f>IF(AND($E95&lt;&gt;"",$E95&lt;=V$5+6,$F95&gt;=V$5),"■","")</x:f>
      </x:c>
      <x:c r="W95" s="372" t="str">
        <x:f>IF(AND($E95&lt;&gt;"",$E95&lt;=W$5+6,$F95&gt;=W$5),"■","")</x:f>
      </x:c>
      <x:c r="X95" s="372" t="str">
        <x:f>IF(AND($E95&lt;&gt;"",$E95&lt;=X$5+6,$F95&gt;=X$5),"■","")</x:f>
      </x:c>
      <x:c r="Y95" s="372" t="str">
        <x:f>IF(AND($E95&lt;&gt;"",$E95&lt;=Y$5+6,$F95&gt;=Y$5),"■","")</x:f>
      </x:c>
      <x:c r="Z95" s="372" t="str">
        <x:f>IF(AND($E95&lt;&gt;"",$E95&lt;=Z$5+6,$F95&gt;=Z$5),"■","")</x:f>
        <x:v>■</x:v>
      </x:c>
      <x:c r="AA95" s="372" t="str">
        <x:f>IF(AND($E95&lt;&gt;"",$E95&lt;=AA$5+6,$F95&gt;=AA$5),"■","")</x:f>
      </x:c>
      <x:c r="AB95" s="372" t="str">
        <x:f>IF(AND($E95&lt;&gt;"",$E95&lt;=AB$5+6,$F95&gt;=AB$5),"■","")</x:f>
      </x:c>
      <x:c r="AC95" s="372" t="str">
        <x:f>IF(AND($E95&lt;&gt;"",$E95&lt;=AC$5+6,$F95&gt;=AC$5),"■","")</x:f>
      </x:c>
      <x:c r="AD95" s="372" t="str">
        <x:f>IF(AND($E95&lt;&gt;"",$E95&lt;=AD$5+6,$F95&gt;=AD$5),"■","")</x:f>
      </x:c>
      <x:c r="AE95" s="372" t="str">
        <x:f>IF(AND($E95&lt;&gt;"",$E95&lt;=AE$5+6,$F95&gt;=AE$5),"■","")</x:f>
      </x:c>
      <x:c r="AF95" s="372" t="str">
        <x:f>IF(AND($E95&lt;&gt;"",$E95&lt;=AF$5+6,$F95&gt;=AF$5),"■","")</x:f>
      </x:c>
      <x:c r="AG95" s="372" t="str">
        <x:f>IF(AND($E95&lt;&gt;"",$E95&lt;=AG$5+6,$F95&gt;=AG$5),"■","")</x:f>
      </x:c>
      <x:c r="AH95" s="373" t="str">
        <x:f>IF(AND($E95&lt;&gt;"",$E95&lt;=AH$5+6,$F95&gt;=AH$5),"■","")</x:f>
      </x:c>
    </x:row>
    <x:row r="96" ht="38" customHeight="1">
      <x:c r="A96" s="465" t="str">
        <x:f>'作業計画'!A96</x:f>
        <x:v>00090</x:v>
      </x:c>
      <x:c r="B96" s="202" t="str">
        <x:f>'作業計画'!B96</x:f>
        <x:v>06.結合テスト</x:v>
      </x:c>
      <x:c r="C96" s="48" t="str">
        <x:f>'作業計画'!C96</x:f>
        <x:v>例外対応：復旧・部分失敗・再開確認</x:v>
      </x:c>
      <x:c r="D96" s="48" t="str">
        <x:f>'作業計画'!D96</x:f>
        <x:v>テスト／運用担当（要確定）</x:v>
      </x:c>
      <x:c r="E96" s="345" t="n">
        <x:f>IF('作業計画'!O96="","",'作業計画'!O96)</x:f>
        <x:v>46435</x:v>
      </x:c>
      <x:c r="F96" s="345" t="n">
        <x:f>IF('作業計画'!P96="","",'作業計画'!P96)</x:f>
        <x:v>46436</x:v>
      </x:c>
      <x:c r="G96" s="353" t="n">
        <x:f>'作業計画'!U96</x:f>
        <x:v>0</x:v>
      </x:c>
      <x:c r="H96" s="48" t="str">
        <x:f>'作業計画'!V96</x:f>
        <x:v>予定前</x:v>
      </x:c>
      <x:c r="I96" s="370" t="str">
        <x:f>IF(AND($E96&lt;&gt;"",$E96&lt;=I$5+6,$F96&gt;=I$5),"■","")</x:f>
      </x:c>
      <x:c r="J96" s="370" t="str">
        <x:f>IF(AND($E96&lt;&gt;"",$E96&lt;=J$5+6,$F96&gt;=J$5),"■","")</x:f>
      </x:c>
      <x:c r="K96" s="370" t="str">
        <x:f>IF(AND($E96&lt;&gt;"",$E96&lt;=K$5+6,$F96&gt;=K$5),"■","")</x:f>
      </x:c>
      <x:c r="L96" s="370" t="str">
        <x:f>IF(AND($E96&lt;&gt;"",$E96&lt;=L$5+6,$F96&gt;=L$5),"■","")</x:f>
      </x:c>
      <x:c r="M96" s="370" t="str">
        <x:f>IF(AND($E96&lt;&gt;"",$E96&lt;=M$5+6,$F96&gt;=M$5),"■","")</x:f>
      </x:c>
      <x:c r="N96" s="370" t="str">
        <x:f>IF(AND($E96&lt;&gt;"",$E96&lt;=N$5+6,$F96&gt;=N$5),"■","")</x:f>
      </x:c>
      <x:c r="O96" s="370" t="str">
        <x:f>IF(AND($E96&lt;&gt;"",$E96&lt;=O$5+6,$F96&gt;=O$5),"■","")</x:f>
      </x:c>
      <x:c r="P96" s="370" t="str">
        <x:f>IF(AND($E96&lt;&gt;"",$E96&lt;=P$5+6,$F96&gt;=P$5),"■","")</x:f>
      </x:c>
      <x:c r="Q96" s="370" t="str">
        <x:f>IF(AND($E96&lt;&gt;"",$E96&lt;=Q$5+6,$F96&gt;=Q$5),"■","")</x:f>
      </x:c>
      <x:c r="R96" s="370" t="str">
        <x:f>IF(AND($E96&lt;&gt;"",$E96&lt;=R$5+6,$F96&gt;=R$5),"■","")</x:f>
      </x:c>
      <x:c r="S96" s="370" t="str">
        <x:f>IF(AND($E96&lt;&gt;"",$E96&lt;=S$5+6,$F96&gt;=S$5),"■","")</x:f>
      </x:c>
      <x:c r="T96" s="370" t="str">
        <x:f>IF(AND($E96&lt;&gt;"",$E96&lt;=T$5+6,$F96&gt;=T$5),"■","")</x:f>
      </x:c>
      <x:c r="U96" s="370" t="str">
        <x:f>IF(AND($E96&lt;&gt;"",$E96&lt;=U$5+6,$F96&gt;=U$5),"■","")</x:f>
      </x:c>
      <x:c r="V96" s="370" t="str">
        <x:f>IF(AND($E96&lt;&gt;"",$E96&lt;=V$5+6,$F96&gt;=V$5),"■","")</x:f>
      </x:c>
      <x:c r="W96" s="370" t="str">
        <x:f>IF(AND($E96&lt;&gt;"",$E96&lt;=W$5+6,$F96&gt;=W$5),"■","")</x:f>
      </x:c>
      <x:c r="X96" s="370" t="str">
        <x:f>IF(AND($E96&lt;&gt;"",$E96&lt;=X$5+6,$F96&gt;=X$5),"■","")</x:f>
      </x:c>
      <x:c r="Y96" s="370" t="str">
        <x:f>IF(AND($E96&lt;&gt;"",$E96&lt;=Y$5+6,$F96&gt;=Y$5),"■","")</x:f>
      </x:c>
      <x:c r="Z96" s="370" t="str">
        <x:f>IF(AND($E96&lt;&gt;"",$E96&lt;=Z$5+6,$F96&gt;=Z$5),"■","")</x:f>
        <x:v>■</x:v>
      </x:c>
      <x:c r="AA96" s="370" t="str">
        <x:f>IF(AND($E96&lt;&gt;"",$E96&lt;=AA$5+6,$F96&gt;=AA$5),"■","")</x:f>
      </x:c>
      <x:c r="AB96" s="370" t="str">
        <x:f>IF(AND($E96&lt;&gt;"",$E96&lt;=AB$5+6,$F96&gt;=AB$5),"■","")</x:f>
      </x:c>
      <x:c r="AC96" s="370" t="str">
        <x:f>IF(AND($E96&lt;&gt;"",$E96&lt;=AC$5+6,$F96&gt;=AC$5),"■","")</x:f>
      </x:c>
      <x:c r="AD96" s="370" t="str">
        <x:f>IF(AND($E96&lt;&gt;"",$E96&lt;=AD$5+6,$F96&gt;=AD$5),"■","")</x:f>
      </x:c>
      <x:c r="AE96" s="370" t="str">
        <x:f>IF(AND($E96&lt;&gt;"",$E96&lt;=AE$5+6,$F96&gt;=AE$5),"■","")</x:f>
      </x:c>
      <x:c r="AF96" s="370" t="str">
        <x:f>IF(AND($E96&lt;&gt;"",$E96&lt;=AF$5+6,$F96&gt;=AF$5),"■","")</x:f>
      </x:c>
      <x:c r="AG96" s="370" t="str">
        <x:f>IF(AND($E96&lt;&gt;"",$E96&lt;=AG$5+6,$F96&gt;=AG$5),"■","")</x:f>
      </x:c>
      <x:c r="AH96" s="371" t="str">
        <x:f>IF(AND($E96&lt;&gt;"",$E96&lt;=AH$5+6,$F96&gt;=AH$5),"■","")</x:f>
      </x:c>
    </x:row>
    <x:row r="97" ht="38" customHeight="1">
      <x:c r="A97" s="466" t="str">
        <x:f>'作業計画'!A97</x:f>
        <x:v>00091</x:v>
      </x:c>
      <x:c r="B97" s="202" t="str">
        <x:f>'作業計画'!B97</x:f>
        <x:v>06.結合テスト</x:v>
      </x:c>
      <x:c r="C97" s="56" t="str">
        <x:f>'作業計画'!C97</x:f>
        <x:v>結合不具合再確認・UAT移行判定</x:v>
      </x:c>
      <x:c r="D97" s="56" t="str">
        <x:f>'作業計画'!D97</x:f>
        <x:v>品質／業務担当（要確定）</x:v>
      </x:c>
      <x:c r="E97" s="346" t="n">
        <x:f>IF('作業計画'!O97="","",'作業計画'!O97)</x:f>
        <x:v>46437</x:v>
      </x:c>
      <x:c r="F97" s="346" t="n">
        <x:f>IF('作業計画'!P97="","",'作業計画'!P97)</x:f>
        <x:v>46441</x:v>
      </x:c>
      <x:c r="G97" s="354" t="n">
        <x:f>'作業計画'!U97</x:f>
        <x:v>0</x:v>
      </x:c>
      <x:c r="H97" s="56" t="str">
        <x:f>'作業計画'!V97</x:f>
        <x:v>予定前</x:v>
      </x:c>
      <x:c r="I97" s="372" t="str">
        <x:f>IF(AND($E97&lt;&gt;"",$E97&lt;=I$5+6,$F97&gt;=I$5),"■","")</x:f>
      </x:c>
      <x:c r="J97" s="372" t="str">
        <x:f>IF(AND($E97&lt;&gt;"",$E97&lt;=J$5+6,$F97&gt;=J$5),"■","")</x:f>
      </x:c>
      <x:c r="K97" s="372" t="str">
        <x:f>IF(AND($E97&lt;&gt;"",$E97&lt;=K$5+6,$F97&gt;=K$5),"■","")</x:f>
      </x:c>
      <x:c r="L97" s="372" t="str">
        <x:f>IF(AND($E97&lt;&gt;"",$E97&lt;=L$5+6,$F97&gt;=L$5),"■","")</x:f>
      </x:c>
      <x:c r="M97" s="372" t="str">
        <x:f>IF(AND($E97&lt;&gt;"",$E97&lt;=M$5+6,$F97&gt;=M$5),"■","")</x:f>
      </x:c>
      <x:c r="N97" s="372" t="str">
        <x:f>IF(AND($E97&lt;&gt;"",$E97&lt;=N$5+6,$F97&gt;=N$5),"■","")</x:f>
      </x:c>
      <x:c r="O97" s="372" t="str">
        <x:f>IF(AND($E97&lt;&gt;"",$E97&lt;=O$5+6,$F97&gt;=O$5),"■","")</x:f>
      </x:c>
      <x:c r="P97" s="372" t="str">
        <x:f>IF(AND($E97&lt;&gt;"",$E97&lt;=P$5+6,$F97&gt;=P$5),"■","")</x:f>
      </x:c>
      <x:c r="Q97" s="372" t="str">
        <x:f>IF(AND($E97&lt;&gt;"",$E97&lt;=Q$5+6,$F97&gt;=Q$5),"■","")</x:f>
      </x:c>
      <x:c r="R97" s="372" t="str">
        <x:f>IF(AND($E97&lt;&gt;"",$E97&lt;=R$5+6,$F97&gt;=R$5),"■","")</x:f>
      </x:c>
      <x:c r="S97" s="372" t="str">
        <x:f>IF(AND($E97&lt;&gt;"",$E97&lt;=S$5+6,$F97&gt;=S$5),"■","")</x:f>
      </x:c>
      <x:c r="T97" s="372" t="str">
        <x:f>IF(AND($E97&lt;&gt;"",$E97&lt;=T$5+6,$F97&gt;=T$5),"■","")</x:f>
      </x:c>
      <x:c r="U97" s="372" t="str">
        <x:f>IF(AND($E97&lt;&gt;"",$E97&lt;=U$5+6,$F97&gt;=U$5),"■","")</x:f>
      </x:c>
      <x:c r="V97" s="372" t="str">
        <x:f>IF(AND($E97&lt;&gt;"",$E97&lt;=V$5+6,$F97&gt;=V$5),"■","")</x:f>
      </x:c>
      <x:c r="W97" s="372" t="str">
        <x:f>IF(AND($E97&lt;&gt;"",$E97&lt;=W$5+6,$F97&gt;=W$5),"■","")</x:f>
      </x:c>
      <x:c r="X97" s="372" t="str">
        <x:f>IF(AND($E97&lt;&gt;"",$E97&lt;=X$5+6,$F97&gt;=X$5),"■","")</x:f>
      </x:c>
      <x:c r="Y97" s="372" t="str">
        <x:f>IF(AND($E97&lt;&gt;"",$E97&lt;=Y$5+6,$F97&gt;=Y$5),"■","")</x:f>
      </x:c>
      <x:c r="Z97" s="372" t="str">
        <x:f>IF(AND($E97&lt;&gt;"",$E97&lt;=Z$5+6,$F97&gt;=Z$5),"■","")</x:f>
        <x:v>■</x:v>
      </x:c>
      <x:c r="AA97" s="372" t="str">
        <x:f>IF(AND($E97&lt;&gt;"",$E97&lt;=AA$5+6,$F97&gt;=AA$5),"■","")</x:f>
        <x:v>■</x:v>
      </x:c>
      <x:c r="AB97" s="372" t="str">
        <x:f>IF(AND($E97&lt;&gt;"",$E97&lt;=AB$5+6,$F97&gt;=AB$5),"■","")</x:f>
      </x:c>
      <x:c r="AC97" s="372" t="str">
        <x:f>IF(AND($E97&lt;&gt;"",$E97&lt;=AC$5+6,$F97&gt;=AC$5),"■","")</x:f>
      </x:c>
      <x:c r="AD97" s="372" t="str">
        <x:f>IF(AND($E97&lt;&gt;"",$E97&lt;=AD$5+6,$F97&gt;=AD$5),"■","")</x:f>
      </x:c>
      <x:c r="AE97" s="372" t="str">
        <x:f>IF(AND($E97&lt;&gt;"",$E97&lt;=AE$5+6,$F97&gt;=AE$5),"■","")</x:f>
      </x:c>
      <x:c r="AF97" s="372" t="str">
        <x:f>IF(AND($E97&lt;&gt;"",$E97&lt;=AF$5+6,$F97&gt;=AF$5),"■","")</x:f>
      </x:c>
      <x:c r="AG97" s="372" t="str">
        <x:f>IF(AND($E97&lt;&gt;"",$E97&lt;=AG$5+6,$F97&gt;=AG$5),"■","")</x:f>
      </x:c>
      <x:c r="AH97" s="373" t="str">
        <x:f>IF(AND($E97&lt;&gt;"",$E97&lt;=AH$5+6,$F97&gt;=AH$5),"■","")</x:f>
      </x:c>
    </x:row>
    <x:row r="98" ht="38" customHeight="1">
      <x:c r="A98" s="465" t="str">
        <x:f>'作業計画'!A98</x:f>
        <x:v>00092</x:v>
      </x:c>
      <x:c r="B98" s="204" t="str">
        <x:f>'作業計画'!B98</x:f>
        <x:v>07.UAT</x:v>
      </x:c>
      <x:c r="C98" s="48" t="str">
        <x:f>'作業計画'!C98</x:f>
        <x:v>UATシナリオ・利用者・判定基準の準備</x:v>
      </x:c>
      <x:c r="D98" s="48" t="str">
        <x:f>'作業計画'!D98</x:f>
        <x:v>業務／UAT担当（要確定）</x:v>
      </x:c>
      <x:c r="E98" s="345" t="n">
        <x:f>IF('作業計画'!O98="","",'作業計画'!O98)</x:f>
        <x:v>46427</x:v>
      </x:c>
      <x:c r="F98" s="345" t="n">
        <x:f>IF('作業計画'!P98="","",'作業計画'!P98)</x:f>
        <x:v>46428</x:v>
      </x:c>
      <x:c r="G98" s="353" t="n">
        <x:f>'作業計画'!U98</x:f>
        <x:v>0</x:v>
      </x:c>
      <x:c r="H98" s="48" t="str">
        <x:f>'作業計画'!V98</x:f>
        <x:v>予定前</x:v>
      </x:c>
      <x:c r="I98" s="370" t="str">
        <x:f>IF(AND($E98&lt;&gt;"",$E98&lt;=I$5+6,$F98&gt;=I$5),"■","")</x:f>
      </x:c>
      <x:c r="J98" s="370" t="str">
        <x:f>IF(AND($E98&lt;&gt;"",$E98&lt;=J$5+6,$F98&gt;=J$5),"■","")</x:f>
      </x:c>
      <x:c r="K98" s="370" t="str">
        <x:f>IF(AND($E98&lt;&gt;"",$E98&lt;=K$5+6,$F98&gt;=K$5),"■","")</x:f>
      </x:c>
      <x:c r="L98" s="370" t="str">
        <x:f>IF(AND($E98&lt;&gt;"",$E98&lt;=L$5+6,$F98&gt;=L$5),"■","")</x:f>
      </x:c>
      <x:c r="M98" s="370" t="str">
        <x:f>IF(AND($E98&lt;&gt;"",$E98&lt;=M$5+6,$F98&gt;=M$5),"■","")</x:f>
      </x:c>
      <x:c r="N98" s="370" t="str">
        <x:f>IF(AND($E98&lt;&gt;"",$E98&lt;=N$5+6,$F98&gt;=N$5),"■","")</x:f>
      </x:c>
      <x:c r="O98" s="370" t="str">
        <x:f>IF(AND($E98&lt;&gt;"",$E98&lt;=O$5+6,$F98&gt;=O$5),"■","")</x:f>
      </x:c>
      <x:c r="P98" s="370" t="str">
        <x:f>IF(AND($E98&lt;&gt;"",$E98&lt;=P$5+6,$F98&gt;=P$5),"■","")</x:f>
      </x:c>
      <x:c r="Q98" s="370" t="str">
        <x:f>IF(AND($E98&lt;&gt;"",$E98&lt;=Q$5+6,$F98&gt;=Q$5),"■","")</x:f>
      </x:c>
      <x:c r="R98" s="370" t="str">
        <x:f>IF(AND($E98&lt;&gt;"",$E98&lt;=R$5+6,$F98&gt;=R$5),"■","")</x:f>
      </x:c>
      <x:c r="S98" s="370" t="str">
        <x:f>IF(AND($E98&lt;&gt;"",$E98&lt;=S$5+6,$F98&gt;=S$5),"■","")</x:f>
      </x:c>
      <x:c r="T98" s="370" t="str">
        <x:f>IF(AND($E98&lt;&gt;"",$E98&lt;=T$5+6,$F98&gt;=T$5),"■","")</x:f>
      </x:c>
      <x:c r="U98" s="370" t="str">
        <x:f>IF(AND($E98&lt;&gt;"",$E98&lt;=U$5+6,$F98&gt;=U$5),"■","")</x:f>
      </x:c>
      <x:c r="V98" s="370" t="str">
        <x:f>IF(AND($E98&lt;&gt;"",$E98&lt;=V$5+6,$F98&gt;=V$5),"■","")</x:f>
      </x:c>
      <x:c r="W98" s="370" t="str">
        <x:f>IF(AND($E98&lt;&gt;"",$E98&lt;=W$5+6,$F98&gt;=W$5),"■","")</x:f>
      </x:c>
      <x:c r="X98" s="370" t="str">
        <x:f>IF(AND($E98&lt;&gt;"",$E98&lt;=X$5+6,$F98&gt;=X$5),"■","")</x:f>
      </x:c>
      <x:c r="Y98" s="370" t="str">
        <x:f>IF(AND($E98&lt;&gt;"",$E98&lt;=Y$5+6,$F98&gt;=Y$5),"■","")</x:f>
        <x:v>■</x:v>
      </x:c>
      <x:c r="Z98" s="370" t="str">
        <x:f>IF(AND($E98&lt;&gt;"",$E98&lt;=Z$5+6,$F98&gt;=Z$5),"■","")</x:f>
      </x:c>
      <x:c r="AA98" s="370" t="str">
        <x:f>IF(AND($E98&lt;&gt;"",$E98&lt;=AA$5+6,$F98&gt;=AA$5),"■","")</x:f>
      </x:c>
      <x:c r="AB98" s="370" t="str">
        <x:f>IF(AND($E98&lt;&gt;"",$E98&lt;=AB$5+6,$F98&gt;=AB$5),"■","")</x:f>
      </x:c>
      <x:c r="AC98" s="370" t="str">
        <x:f>IF(AND($E98&lt;&gt;"",$E98&lt;=AC$5+6,$F98&gt;=AC$5),"■","")</x:f>
      </x:c>
      <x:c r="AD98" s="370" t="str">
        <x:f>IF(AND($E98&lt;&gt;"",$E98&lt;=AD$5+6,$F98&gt;=AD$5),"■","")</x:f>
      </x:c>
      <x:c r="AE98" s="370" t="str">
        <x:f>IF(AND($E98&lt;&gt;"",$E98&lt;=AE$5+6,$F98&gt;=AE$5),"■","")</x:f>
      </x:c>
      <x:c r="AF98" s="370" t="str">
        <x:f>IF(AND($E98&lt;&gt;"",$E98&lt;=AF$5+6,$F98&gt;=AF$5),"■","")</x:f>
      </x:c>
      <x:c r="AG98" s="370" t="str">
        <x:f>IF(AND($E98&lt;&gt;"",$E98&lt;=AG$5+6,$F98&gt;=AG$5),"■","")</x:f>
      </x:c>
      <x:c r="AH98" s="371" t="str">
        <x:f>IF(AND($E98&lt;&gt;"",$E98&lt;=AH$5+6,$F98&gt;=AH$5),"■","")</x:f>
      </x:c>
    </x:row>
    <x:row r="99" ht="38" customHeight="1">
      <x:c r="A99" s="466" t="str">
        <x:f>'作業計画'!A99</x:f>
        <x:v>00093</x:v>
      </x:c>
      <x:c r="B99" s="204" t="str">
        <x:f>'作業計画'!B99</x:f>
        <x:v>07.UAT</x:v>
      </x:c>
      <x:c r="C99" s="56" t="str">
        <x:f>'作業計画'!C99</x:f>
        <x:v>Product：UAT・業務受入確認</x:v>
      </x:c>
      <x:c r="D99" s="56" t="str">
        <x:f>'作業計画'!D99</x:f>
        <x:v>業務／UAT担当（要確定）</x:v>
      </x:c>
      <x:c r="E99" s="346" t="n">
        <x:f>IF('作業計画'!O99="","",'作業計画'!O99)</x:f>
        <x:v>46442</x:v>
      </x:c>
      <x:c r="F99" s="346" t="n">
        <x:f>IF('作業計画'!P99="","",'作業計画'!P99)</x:f>
        <x:v>46443</x:v>
      </x:c>
      <x:c r="G99" s="354" t="n">
        <x:f>'作業計画'!U99</x:f>
        <x:v>0</x:v>
      </x:c>
      <x:c r="H99" s="56" t="str">
        <x:f>'作業計画'!V99</x:f>
        <x:v>予定前</x:v>
      </x:c>
      <x:c r="I99" s="372" t="str">
        <x:f>IF(AND($E99&lt;&gt;"",$E99&lt;=I$5+6,$F99&gt;=I$5),"■","")</x:f>
      </x:c>
      <x:c r="J99" s="372" t="str">
        <x:f>IF(AND($E99&lt;&gt;"",$E99&lt;=J$5+6,$F99&gt;=J$5),"■","")</x:f>
      </x:c>
      <x:c r="K99" s="372" t="str">
        <x:f>IF(AND($E99&lt;&gt;"",$E99&lt;=K$5+6,$F99&gt;=K$5),"■","")</x:f>
      </x:c>
      <x:c r="L99" s="372" t="str">
        <x:f>IF(AND($E99&lt;&gt;"",$E99&lt;=L$5+6,$F99&gt;=L$5),"■","")</x:f>
      </x:c>
      <x:c r="M99" s="372" t="str">
        <x:f>IF(AND($E99&lt;&gt;"",$E99&lt;=M$5+6,$F99&gt;=M$5),"■","")</x:f>
      </x:c>
      <x:c r="N99" s="372" t="str">
        <x:f>IF(AND($E99&lt;&gt;"",$E99&lt;=N$5+6,$F99&gt;=N$5),"■","")</x:f>
      </x:c>
      <x:c r="O99" s="372" t="str">
        <x:f>IF(AND($E99&lt;&gt;"",$E99&lt;=O$5+6,$F99&gt;=O$5),"■","")</x:f>
      </x:c>
      <x:c r="P99" s="372" t="str">
        <x:f>IF(AND($E99&lt;&gt;"",$E99&lt;=P$5+6,$F99&gt;=P$5),"■","")</x:f>
      </x:c>
      <x:c r="Q99" s="372" t="str">
        <x:f>IF(AND($E99&lt;&gt;"",$E99&lt;=Q$5+6,$F99&gt;=Q$5),"■","")</x:f>
      </x:c>
      <x:c r="R99" s="372" t="str">
        <x:f>IF(AND($E99&lt;&gt;"",$E99&lt;=R$5+6,$F99&gt;=R$5),"■","")</x:f>
      </x:c>
      <x:c r="S99" s="372" t="str">
        <x:f>IF(AND($E99&lt;&gt;"",$E99&lt;=S$5+6,$F99&gt;=S$5),"■","")</x:f>
      </x:c>
      <x:c r="T99" s="372" t="str">
        <x:f>IF(AND($E99&lt;&gt;"",$E99&lt;=T$5+6,$F99&gt;=T$5),"■","")</x:f>
      </x:c>
      <x:c r="U99" s="372" t="str">
        <x:f>IF(AND($E99&lt;&gt;"",$E99&lt;=U$5+6,$F99&gt;=U$5),"■","")</x:f>
      </x:c>
      <x:c r="V99" s="372" t="str">
        <x:f>IF(AND($E99&lt;&gt;"",$E99&lt;=V$5+6,$F99&gt;=V$5),"■","")</x:f>
      </x:c>
      <x:c r="W99" s="372" t="str">
        <x:f>IF(AND($E99&lt;&gt;"",$E99&lt;=W$5+6,$F99&gt;=W$5),"■","")</x:f>
      </x:c>
      <x:c r="X99" s="372" t="str">
        <x:f>IF(AND($E99&lt;&gt;"",$E99&lt;=X$5+6,$F99&gt;=X$5),"■","")</x:f>
      </x:c>
      <x:c r="Y99" s="372" t="str">
        <x:f>IF(AND($E99&lt;&gt;"",$E99&lt;=Y$5+6,$F99&gt;=Y$5),"■","")</x:f>
      </x:c>
      <x:c r="Z99" s="372" t="str">
        <x:f>IF(AND($E99&lt;&gt;"",$E99&lt;=Z$5+6,$F99&gt;=Z$5),"■","")</x:f>
      </x:c>
      <x:c r="AA99" s="372" t="str">
        <x:f>IF(AND($E99&lt;&gt;"",$E99&lt;=AA$5+6,$F99&gt;=AA$5),"■","")</x:f>
        <x:v>■</x:v>
      </x:c>
      <x:c r="AB99" s="372" t="str">
        <x:f>IF(AND($E99&lt;&gt;"",$E99&lt;=AB$5+6,$F99&gt;=AB$5),"■","")</x:f>
      </x:c>
      <x:c r="AC99" s="372" t="str">
        <x:f>IF(AND($E99&lt;&gt;"",$E99&lt;=AC$5+6,$F99&gt;=AC$5),"■","")</x:f>
      </x:c>
      <x:c r="AD99" s="372" t="str">
        <x:f>IF(AND($E99&lt;&gt;"",$E99&lt;=AD$5+6,$F99&gt;=AD$5),"■","")</x:f>
      </x:c>
      <x:c r="AE99" s="372" t="str">
        <x:f>IF(AND($E99&lt;&gt;"",$E99&lt;=AE$5+6,$F99&gt;=AE$5),"■","")</x:f>
      </x:c>
      <x:c r="AF99" s="372" t="str">
        <x:f>IF(AND($E99&lt;&gt;"",$E99&lt;=AF$5+6,$F99&gt;=AF$5),"■","")</x:f>
      </x:c>
      <x:c r="AG99" s="372" t="str">
        <x:f>IF(AND($E99&lt;&gt;"",$E99&lt;=AG$5+6,$F99&gt;=AG$5),"■","")</x:f>
      </x:c>
      <x:c r="AH99" s="373" t="str">
        <x:f>IF(AND($E99&lt;&gt;"",$E99&lt;=AH$5+6,$F99&gt;=AH$5),"■","")</x:f>
      </x:c>
    </x:row>
    <x:row r="100" ht="38" customHeight="1">
      <x:c r="A100" s="465" t="str">
        <x:f>'作業計画'!A100</x:f>
        <x:v>00094</x:v>
      </x:c>
      <x:c r="B100" s="204" t="str">
        <x:f>'作業計画'!B100</x:f>
        <x:v>07.UAT</x:v>
      </x:c>
      <x:c r="C100" s="48" t="str">
        <x:f>'作業計画'!C100</x:f>
        <x:v>Contact：UAT・業務受入確認</x:v>
      </x:c>
      <x:c r="D100" s="48" t="str">
        <x:f>'作業計画'!D100</x:f>
        <x:v>業務／UAT担当（要確定）</x:v>
      </x:c>
      <x:c r="E100" s="345" t="n">
        <x:f>IF('作業計画'!O100="","",'作業計画'!O100)</x:f>
        <x:v>46444</x:v>
      </x:c>
      <x:c r="F100" s="345" t="n">
        <x:f>IF('作業計画'!P100="","",'作業計画'!P100)</x:f>
        <x:v>46447</x:v>
      </x:c>
      <x:c r="G100" s="353" t="n">
        <x:f>'作業計画'!U100</x:f>
        <x:v>0</x:v>
      </x:c>
      <x:c r="H100" s="48" t="str">
        <x:f>'作業計画'!V100</x:f>
        <x:v>予定前</x:v>
      </x:c>
      <x:c r="I100" s="370" t="str">
        <x:f>IF(AND($E100&lt;&gt;"",$E100&lt;=I$5+6,$F100&gt;=I$5),"■","")</x:f>
      </x:c>
      <x:c r="J100" s="370" t="str">
        <x:f>IF(AND($E100&lt;&gt;"",$E100&lt;=J$5+6,$F100&gt;=J$5),"■","")</x:f>
      </x:c>
      <x:c r="K100" s="370" t="str">
        <x:f>IF(AND($E100&lt;&gt;"",$E100&lt;=K$5+6,$F100&gt;=K$5),"■","")</x:f>
      </x:c>
      <x:c r="L100" s="370" t="str">
        <x:f>IF(AND($E100&lt;&gt;"",$E100&lt;=L$5+6,$F100&gt;=L$5),"■","")</x:f>
      </x:c>
      <x:c r="M100" s="370" t="str">
        <x:f>IF(AND($E100&lt;&gt;"",$E100&lt;=M$5+6,$F100&gt;=M$5),"■","")</x:f>
      </x:c>
      <x:c r="N100" s="370" t="str">
        <x:f>IF(AND($E100&lt;&gt;"",$E100&lt;=N$5+6,$F100&gt;=N$5),"■","")</x:f>
      </x:c>
      <x:c r="O100" s="370" t="str">
        <x:f>IF(AND($E100&lt;&gt;"",$E100&lt;=O$5+6,$F100&gt;=O$5),"■","")</x:f>
      </x:c>
      <x:c r="P100" s="370" t="str">
        <x:f>IF(AND($E100&lt;&gt;"",$E100&lt;=P$5+6,$F100&gt;=P$5),"■","")</x:f>
      </x:c>
      <x:c r="Q100" s="370" t="str">
        <x:f>IF(AND($E100&lt;&gt;"",$E100&lt;=Q$5+6,$F100&gt;=Q$5),"■","")</x:f>
      </x:c>
      <x:c r="R100" s="370" t="str">
        <x:f>IF(AND($E100&lt;&gt;"",$E100&lt;=R$5+6,$F100&gt;=R$5),"■","")</x:f>
      </x:c>
      <x:c r="S100" s="370" t="str">
        <x:f>IF(AND($E100&lt;&gt;"",$E100&lt;=S$5+6,$F100&gt;=S$5),"■","")</x:f>
      </x:c>
      <x:c r="T100" s="370" t="str">
        <x:f>IF(AND($E100&lt;&gt;"",$E100&lt;=T$5+6,$F100&gt;=T$5),"■","")</x:f>
      </x:c>
      <x:c r="U100" s="370" t="str">
        <x:f>IF(AND($E100&lt;&gt;"",$E100&lt;=U$5+6,$F100&gt;=U$5),"■","")</x:f>
      </x:c>
      <x:c r="V100" s="370" t="str">
        <x:f>IF(AND($E100&lt;&gt;"",$E100&lt;=V$5+6,$F100&gt;=V$5),"■","")</x:f>
      </x:c>
      <x:c r="W100" s="370" t="str">
        <x:f>IF(AND($E100&lt;&gt;"",$E100&lt;=W$5+6,$F100&gt;=W$5),"■","")</x:f>
      </x:c>
      <x:c r="X100" s="370" t="str">
        <x:f>IF(AND($E100&lt;&gt;"",$E100&lt;=X$5+6,$F100&gt;=X$5),"■","")</x:f>
      </x:c>
      <x:c r="Y100" s="370" t="str">
        <x:f>IF(AND($E100&lt;&gt;"",$E100&lt;=Y$5+6,$F100&gt;=Y$5),"■","")</x:f>
      </x:c>
      <x:c r="Z100" s="370" t="str">
        <x:f>IF(AND($E100&lt;&gt;"",$E100&lt;=Z$5+6,$F100&gt;=Z$5),"■","")</x:f>
      </x:c>
      <x:c r="AA100" s="370" t="str">
        <x:f>IF(AND($E100&lt;&gt;"",$E100&lt;=AA$5+6,$F100&gt;=AA$5),"■","")</x:f>
        <x:v>■</x:v>
      </x:c>
      <x:c r="AB100" s="370" t="str">
        <x:f>IF(AND($E100&lt;&gt;"",$E100&lt;=AB$5+6,$F100&gt;=AB$5),"■","")</x:f>
        <x:v>■</x:v>
      </x:c>
      <x:c r="AC100" s="370" t="str">
        <x:f>IF(AND($E100&lt;&gt;"",$E100&lt;=AC$5+6,$F100&gt;=AC$5),"■","")</x:f>
      </x:c>
      <x:c r="AD100" s="370" t="str">
        <x:f>IF(AND($E100&lt;&gt;"",$E100&lt;=AD$5+6,$F100&gt;=AD$5),"■","")</x:f>
      </x:c>
      <x:c r="AE100" s="370" t="str">
        <x:f>IF(AND($E100&lt;&gt;"",$E100&lt;=AE$5+6,$F100&gt;=AE$5),"■","")</x:f>
      </x:c>
      <x:c r="AF100" s="370" t="str">
        <x:f>IF(AND($E100&lt;&gt;"",$E100&lt;=AF$5+6,$F100&gt;=AF$5),"■","")</x:f>
      </x:c>
      <x:c r="AG100" s="370" t="str">
        <x:f>IF(AND($E100&lt;&gt;"",$E100&lt;=AG$5+6,$F100&gt;=AG$5),"■","")</x:f>
      </x:c>
      <x:c r="AH100" s="371" t="str">
        <x:f>IF(AND($E100&lt;&gt;"",$E100&lt;=AH$5+6,$F100&gt;=AH$5),"■","")</x:f>
      </x:c>
    </x:row>
    <x:row r="101" ht="38" customHeight="1">
      <x:c r="A101" s="466" t="str">
        <x:f>'作業計画'!A101</x:f>
        <x:v>00095</x:v>
      </x:c>
      <x:c r="B101" s="204" t="str">
        <x:f>'作業計画'!B101</x:f>
        <x:v>07.UAT</x:v>
      </x:c>
      <x:c r="C101" s="56" t="str">
        <x:f>'作業計画'!C101</x:f>
        <x:v>Account：UAT・業務受入確認</x:v>
      </x:c>
      <x:c r="D101" s="56" t="str">
        <x:f>'作業計画'!D101</x:f>
        <x:v>業務／UAT担当（要確定）</x:v>
      </x:c>
      <x:c r="E101" s="346" t="n">
        <x:f>IF('作業計画'!O101="","",'作業計画'!O101)</x:f>
        <x:v>46448</x:v>
      </x:c>
      <x:c r="F101" s="346" t="n">
        <x:f>IF('作業計画'!P101="","",'作業計画'!P101)</x:f>
        <x:v>46449</x:v>
      </x:c>
      <x:c r="G101" s="354" t="n">
        <x:f>'作業計画'!U101</x:f>
        <x:v>0</x:v>
      </x:c>
      <x:c r="H101" s="56" t="str">
        <x:f>'作業計画'!V101</x:f>
        <x:v>予定前</x:v>
      </x:c>
      <x:c r="I101" s="372" t="str">
        <x:f>IF(AND($E101&lt;&gt;"",$E101&lt;=I$5+6,$F101&gt;=I$5),"■","")</x:f>
      </x:c>
      <x:c r="J101" s="372" t="str">
        <x:f>IF(AND($E101&lt;&gt;"",$E101&lt;=J$5+6,$F101&gt;=J$5),"■","")</x:f>
      </x:c>
      <x:c r="K101" s="372" t="str">
        <x:f>IF(AND($E101&lt;&gt;"",$E101&lt;=K$5+6,$F101&gt;=K$5),"■","")</x:f>
      </x:c>
      <x:c r="L101" s="372" t="str">
        <x:f>IF(AND($E101&lt;&gt;"",$E101&lt;=L$5+6,$F101&gt;=L$5),"■","")</x:f>
      </x:c>
      <x:c r="M101" s="372" t="str">
        <x:f>IF(AND($E101&lt;&gt;"",$E101&lt;=M$5+6,$F101&gt;=M$5),"■","")</x:f>
      </x:c>
      <x:c r="N101" s="372" t="str">
        <x:f>IF(AND($E101&lt;&gt;"",$E101&lt;=N$5+6,$F101&gt;=N$5),"■","")</x:f>
      </x:c>
      <x:c r="O101" s="372" t="str">
        <x:f>IF(AND($E101&lt;&gt;"",$E101&lt;=O$5+6,$F101&gt;=O$5),"■","")</x:f>
      </x:c>
      <x:c r="P101" s="372" t="str">
        <x:f>IF(AND($E101&lt;&gt;"",$E101&lt;=P$5+6,$F101&gt;=P$5),"■","")</x:f>
      </x:c>
      <x:c r="Q101" s="372" t="str">
        <x:f>IF(AND($E101&lt;&gt;"",$E101&lt;=Q$5+6,$F101&gt;=Q$5),"■","")</x:f>
      </x:c>
      <x:c r="R101" s="372" t="str">
        <x:f>IF(AND($E101&lt;&gt;"",$E101&lt;=R$5+6,$F101&gt;=R$5),"■","")</x:f>
      </x:c>
      <x:c r="S101" s="372" t="str">
        <x:f>IF(AND($E101&lt;&gt;"",$E101&lt;=S$5+6,$F101&gt;=S$5),"■","")</x:f>
      </x:c>
      <x:c r="T101" s="372" t="str">
        <x:f>IF(AND($E101&lt;&gt;"",$E101&lt;=T$5+6,$F101&gt;=T$5),"■","")</x:f>
      </x:c>
      <x:c r="U101" s="372" t="str">
        <x:f>IF(AND($E101&lt;&gt;"",$E101&lt;=U$5+6,$F101&gt;=U$5),"■","")</x:f>
      </x:c>
      <x:c r="V101" s="372" t="str">
        <x:f>IF(AND($E101&lt;&gt;"",$E101&lt;=V$5+6,$F101&gt;=V$5),"■","")</x:f>
      </x:c>
      <x:c r="W101" s="372" t="str">
        <x:f>IF(AND($E101&lt;&gt;"",$E101&lt;=W$5+6,$F101&gt;=W$5),"■","")</x:f>
      </x:c>
      <x:c r="X101" s="372" t="str">
        <x:f>IF(AND($E101&lt;&gt;"",$E101&lt;=X$5+6,$F101&gt;=X$5),"■","")</x:f>
      </x:c>
      <x:c r="Y101" s="372" t="str">
        <x:f>IF(AND($E101&lt;&gt;"",$E101&lt;=Y$5+6,$F101&gt;=Y$5),"■","")</x:f>
      </x:c>
      <x:c r="Z101" s="372" t="str">
        <x:f>IF(AND($E101&lt;&gt;"",$E101&lt;=Z$5+6,$F101&gt;=Z$5),"■","")</x:f>
      </x:c>
      <x:c r="AA101" s="372" t="str">
        <x:f>IF(AND($E101&lt;&gt;"",$E101&lt;=AA$5+6,$F101&gt;=AA$5),"■","")</x:f>
      </x:c>
      <x:c r="AB101" s="372" t="str">
        <x:f>IF(AND($E101&lt;&gt;"",$E101&lt;=AB$5+6,$F101&gt;=AB$5),"■","")</x:f>
        <x:v>■</x:v>
      </x:c>
      <x:c r="AC101" s="372" t="str">
        <x:f>IF(AND($E101&lt;&gt;"",$E101&lt;=AC$5+6,$F101&gt;=AC$5),"■","")</x:f>
      </x:c>
      <x:c r="AD101" s="372" t="str">
        <x:f>IF(AND($E101&lt;&gt;"",$E101&lt;=AD$5+6,$F101&gt;=AD$5),"■","")</x:f>
      </x:c>
      <x:c r="AE101" s="372" t="str">
        <x:f>IF(AND($E101&lt;&gt;"",$E101&lt;=AE$5+6,$F101&gt;=AE$5),"■","")</x:f>
      </x:c>
      <x:c r="AF101" s="372" t="str">
        <x:f>IF(AND($E101&lt;&gt;"",$E101&lt;=AF$5+6,$F101&gt;=AF$5),"■","")</x:f>
      </x:c>
      <x:c r="AG101" s="372" t="str">
        <x:f>IF(AND($E101&lt;&gt;"",$E101&lt;=AG$5+6,$F101&gt;=AG$5),"■","")</x:f>
      </x:c>
      <x:c r="AH101" s="373" t="str">
        <x:f>IF(AND($E101&lt;&gt;"",$E101&lt;=AH$5+6,$F101&gt;=AH$5),"■","")</x:f>
      </x:c>
    </x:row>
    <x:row r="102" ht="38" customHeight="1">
      <x:c r="A102" s="465" t="str">
        <x:f>'作業計画'!A102</x:f>
        <x:v>00096</x:v>
      </x:c>
      <x:c r="B102" s="204" t="str">
        <x:f>'作業計画'!B102</x:f>
        <x:v>07.UAT</x:v>
      </x:c>
      <x:c r="C102" s="48" t="str">
        <x:f>'作業計画'!C102</x:f>
        <x:v>AccountContact：UAT・業務受入確認</x:v>
      </x:c>
      <x:c r="D102" s="48" t="str">
        <x:f>'作業計画'!D102</x:f>
        <x:v>業務／UAT担当（要確定）</x:v>
      </x:c>
      <x:c r="E102" s="345" t="n">
        <x:f>IF('作業計画'!O102="","",'作業計画'!O102)</x:f>
        <x:v>46450</x:v>
      </x:c>
      <x:c r="F102" s="345" t="n">
        <x:f>IF('作業計画'!P102="","",'作業計画'!P102)</x:f>
        <x:v>46451</x:v>
      </x:c>
      <x:c r="G102" s="353" t="n">
        <x:f>'作業計画'!U102</x:f>
        <x:v>0</x:v>
      </x:c>
      <x:c r="H102" s="48" t="str">
        <x:f>'作業計画'!V102</x:f>
        <x:v>予定前</x:v>
      </x:c>
      <x:c r="I102" s="370" t="str">
        <x:f>IF(AND($E102&lt;&gt;"",$E102&lt;=I$5+6,$F102&gt;=I$5),"■","")</x:f>
      </x:c>
      <x:c r="J102" s="370" t="str">
        <x:f>IF(AND($E102&lt;&gt;"",$E102&lt;=J$5+6,$F102&gt;=J$5),"■","")</x:f>
      </x:c>
      <x:c r="K102" s="370" t="str">
        <x:f>IF(AND($E102&lt;&gt;"",$E102&lt;=K$5+6,$F102&gt;=K$5),"■","")</x:f>
      </x:c>
      <x:c r="L102" s="370" t="str">
        <x:f>IF(AND($E102&lt;&gt;"",$E102&lt;=L$5+6,$F102&gt;=L$5),"■","")</x:f>
      </x:c>
      <x:c r="M102" s="370" t="str">
        <x:f>IF(AND($E102&lt;&gt;"",$E102&lt;=M$5+6,$F102&gt;=M$5),"■","")</x:f>
      </x:c>
      <x:c r="N102" s="370" t="str">
        <x:f>IF(AND($E102&lt;&gt;"",$E102&lt;=N$5+6,$F102&gt;=N$5),"■","")</x:f>
      </x:c>
      <x:c r="O102" s="370" t="str">
        <x:f>IF(AND($E102&lt;&gt;"",$E102&lt;=O$5+6,$F102&gt;=O$5),"■","")</x:f>
      </x:c>
      <x:c r="P102" s="370" t="str">
        <x:f>IF(AND($E102&lt;&gt;"",$E102&lt;=P$5+6,$F102&gt;=P$5),"■","")</x:f>
      </x:c>
      <x:c r="Q102" s="370" t="str">
        <x:f>IF(AND($E102&lt;&gt;"",$E102&lt;=Q$5+6,$F102&gt;=Q$5),"■","")</x:f>
      </x:c>
      <x:c r="R102" s="370" t="str">
        <x:f>IF(AND($E102&lt;&gt;"",$E102&lt;=R$5+6,$F102&gt;=R$5),"■","")</x:f>
      </x:c>
      <x:c r="S102" s="370" t="str">
        <x:f>IF(AND($E102&lt;&gt;"",$E102&lt;=S$5+6,$F102&gt;=S$5),"■","")</x:f>
      </x:c>
      <x:c r="T102" s="370" t="str">
        <x:f>IF(AND($E102&lt;&gt;"",$E102&lt;=T$5+6,$F102&gt;=T$5),"■","")</x:f>
      </x:c>
      <x:c r="U102" s="370" t="str">
        <x:f>IF(AND($E102&lt;&gt;"",$E102&lt;=U$5+6,$F102&gt;=U$5),"■","")</x:f>
      </x:c>
      <x:c r="V102" s="370" t="str">
        <x:f>IF(AND($E102&lt;&gt;"",$E102&lt;=V$5+6,$F102&gt;=V$5),"■","")</x:f>
      </x:c>
      <x:c r="W102" s="370" t="str">
        <x:f>IF(AND($E102&lt;&gt;"",$E102&lt;=W$5+6,$F102&gt;=W$5),"■","")</x:f>
      </x:c>
      <x:c r="X102" s="370" t="str">
        <x:f>IF(AND($E102&lt;&gt;"",$E102&lt;=X$5+6,$F102&gt;=X$5),"■","")</x:f>
      </x:c>
      <x:c r="Y102" s="370" t="str">
        <x:f>IF(AND($E102&lt;&gt;"",$E102&lt;=Y$5+6,$F102&gt;=Y$5),"■","")</x:f>
      </x:c>
      <x:c r="Z102" s="370" t="str">
        <x:f>IF(AND($E102&lt;&gt;"",$E102&lt;=Z$5+6,$F102&gt;=Z$5),"■","")</x:f>
      </x:c>
      <x:c r="AA102" s="370" t="str">
        <x:f>IF(AND($E102&lt;&gt;"",$E102&lt;=AA$5+6,$F102&gt;=AA$5),"■","")</x:f>
      </x:c>
      <x:c r="AB102" s="370" t="str">
        <x:f>IF(AND($E102&lt;&gt;"",$E102&lt;=AB$5+6,$F102&gt;=AB$5),"■","")</x:f>
        <x:v>■</x:v>
      </x:c>
      <x:c r="AC102" s="370" t="str">
        <x:f>IF(AND($E102&lt;&gt;"",$E102&lt;=AC$5+6,$F102&gt;=AC$5),"■","")</x:f>
      </x:c>
      <x:c r="AD102" s="370" t="str">
        <x:f>IF(AND($E102&lt;&gt;"",$E102&lt;=AD$5+6,$F102&gt;=AD$5),"■","")</x:f>
      </x:c>
      <x:c r="AE102" s="370" t="str">
        <x:f>IF(AND($E102&lt;&gt;"",$E102&lt;=AE$5+6,$F102&gt;=AE$5),"■","")</x:f>
      </x:c>
      <x:c r="AF102" s="370" t="str">
        <x:f>IF(AND($E102&lt;&gt;"",$E102&lt;=AF$5+6,$F102&gt;=AF$5),"■","")</x:f>
      </x:c>
      <x:c r="AG102" s="370" t="str">
        <x:f>IF(AND($E102&lt;&gt;"",$E102&lt;=AG$5+6,$F102&gt;=AG$5),"■","")</x:f>
      </x:c>
      <x:c r="AH102" s="371" t="str">
        <x:f>IF(AND($E102&lt;&gt;"",$E102&lt;=AH$5+6,$F102&gt;=AH$5),"■","")</x:f>
      </x:c>
    </x:row>
    <x:row r="103" ht="38" customHeight="1">
      <x:c r="A103" s="466" t="str">
        <x:f>'作業計画'!A103</x:f>
        <x:v>00097</x:v>
      </x:c>
      <x:c r="B103" s="204" t="str">
        <x:f>'作業計画'!B103</x:f>
        <x:v>07.UAT</x:v>
      </x:c>
      <x:c r="C103" s="56" t="str">
        <x:f>'作業計画'!C103</x:f>
        <x:v>SalesRepHospital：UAT・業務受入確認</x:v>
      </x:c>
      <x:c r="D103" s="56" t="str">
        <x:f>'作業計画'!D103</x:f>
        <x:v>業務／UAT担当（要確定）</x:v>
      </x:c>
      <x:c r="E103" s="346" t="n">
        <x:f>IF('作業計画'!O103="","",'作業計画'!O103)</x:f>
        <x:v>46454</x:v>
      </x:c>
      <x:c r="F103" s="346" t="n">
        <x:f>IF('作業計画'!P103="","",'作業計画'!P103)</x:f>
        <x:v>46455</x:v>
      </x:c>
      <x:c r="G103" s="354" t="n">
        <x:f>'作業計画'!U103</x:f>
        <x:v>0</x:v>
      </x:c>
      <x:c r="H103" s="56" t="str">
        <x:f>'作業計画'!V103</x:f>
        <x:v>予定前</x:v>
      </x:c>
      <x:c r="I103" s="372" t="str">
        <x:f>IF(AND($E103&lt;&gt;"",$E103&lt;=I$5+6,$F103&gt;=I$5),"■","")</x:f>
      </x:c>
      <x:c r="J103" s="372" t="str">
        <x:f>IF(AND($E103&lt;&gt;"",$E103&lt;=J$5+6,$F103&gt;=J$5),"■","")</x:f>
      </x:c>
      <x:c r="K103" s="372" t="str">
        <x:f>IF(AND($E103&lt;&gt;"",$E103&lt;=K$5+6,$F103&gt;=K$5),"■","")</x:f>
      </x:c>
      <x:c r="L103" s="372" t="str">
        <x:f>IF(AND($E103&lt;&gt;"",$E103&lt;=L$5+6,$F103&gt;=L$5),"■","")</x:f>
      </x:c>
      <x:c r="M103" s="372" t="str">
        <x:f>IF(AND($E103&lt;&gt;"",$E103&lt;=M$5+6,$F103&gt;=M$5),"■","")</x:f>
      </x:c>
      <x:c r="N103" s="372" t="str">
        <x:f>IF(AND($E103&lt;&gt;"",$E103&lt;=N$5+6,$F103&gt;=N$5),"■","")</x:f>
      </x:c>
      <x:c r="O103" s="372" t="str">
        <x:f>IF(AND($E103&lt;&gt;"",$E103&lt;=O$5+6,$F103&gt;=O$5),"■","")</x:f>
      </x:c>
      <x:c r="P103" s="372" t="str">
        <x:f>IF(AND($E103&lt;&gt;"",$E103&lt;=P$5+6,$F103&gt;=P$5),"■","")</x:f>
      </x:c>
      <x:c r="Q103" s="372" t="str">
        <x:f>IF(AND($E103&lt;&gt;"",$E103&lt;=Q$5+6,$F103&gt;=Q$5),"■","")</x:f>
      </x:c>
      <x:c r="R103" s="372" t="str">
        <x:f>IF(AND($E103&lt;&gt;"",$E103&lt;=R$5+6,$F103&gt;=R$5),"■","")</x:f>
      </x:c>
      <x:c r="S103" s="372" t="str">
        <x:f>IF(AND($E103&lt;&gt;"",$E103&lt;=S$5+6,$F103&gt;=S$5),"■","")</x:f>
      </x:c>
      <x:c r="T103" s="372" t="str">
        <x:f>IF(AND($E103&lt;&gt;"",$E103&lt;=T$5+6,$F103&gt;=T$5),"■","")</x:f>
      </x:c>
      <x:c r="U103" s="372" t="str">
        <x:f>IF(AND($E103&lt;&gt;"",$E103&lt;=U$5+6,$F103&gt;=U$5),"■","")</x:f>
      </x:c>
      <x:c r="V103" s="372" t="str">
        <x:f>IF(AND($E103&lt;&gt;"",$E103&lt;=V$5+6,$F103&gt;=V$5),"■","")</x:f>
      </x:c>
      <x:c r="W103" s="372" t="str">
        <x:f>IF(AND($E103&lt;&gt;"",$E103&lt;=W$5+6,$F103&gt;=W$5),"■","")</x:f>
      </x:c>
      <x:c r="X103" s="372" t="str">
        <x:f>IF(AND($E103&lt;&gt;"",$E103&lt;=X$5+6,$F103&gt;=X$5),"■","")</x:f>
      </x:c>
      <x:c r="Y103" s="372" t="str">
        <x:f>IF(AND($E103&lt;&gt;"",$E103&lt;=Y$5+6,$F103&gt;=Y$5),"■","")</x:f>
      </x:c>
      <x:c r="Z103" s="372" t="str">
        <x:f>IF(AND($E103&lt;&gt;"",$E103&lt;=Z$5+6,$F103&gt;=Z$5),"■","")</x:f>
      </x:c>
      <x:c r="AA103" s="372" t="str">
        <x:f>IF(AND($E103&lt;&gt;"",$E103&lt;=AA$5+6,$F103&gt;=AA$5),"■","")</x:f>
      </x:c>
      <x:c r="AB103" s="372" t="str">
        <x:f>IF(AND($E103&lt;&gt;"",$E103&lt;=AB$5+6,$F103&gt;=AB$5),"■","")</x:f>
      </x:c>
      <x:c r="AC103" s="372" t="str">
        <x:f>IF(AND($E103&lt;&gt;"",$E103&lt;=AC$5+6,$F103&gt;=AC$5),"■","")</x:f>
        <x:v>■</x:v>
      </x:c>
      <x:c r="AD103" s="372" t="str">
        <x:f>IF(AND($E103&lt;&gt;"",$E103&lt;=AD$5+6,$F103&gt;=AD$5),"■","")</x:f>
      </x:c>
      <x:c r="AE103" s="372" t="str">
        <x:f>IF(AND($E103&lt;&gt;"",$E103&lt;=AE$5+6,$F103&gt;=AE$5),"■","")</x:f>
      </x:c>
      <x:c r="AF103" s="372" t="str">
        <x:f>IF(AND($E103&lt;&gt;"",$E103&lt;=AF$5+6,$F103&gt;=AF$5),"■","")</x:f>
      </x:c>
      <x:c r="AG103" s="372" t="str">
        <x:f>IF(AND($E103&lt;&gt;"",$E103&lt;=AG$5+6,$F103&gt;=AG$5),"■","")</x:f>
      </x:c>
      <x:c r="AH103" s="373" t="str">
        <x:f>IF(AND($E103&lt;&gt;"",$E103&lt;=AH$5+6,$F103&gt;=AH$5),"■","")</x:f>
      </x:c>
    </x:row>
    <x:row r="104" ht="38" customHeight="1">
      <x:c r="A104" s="465" t="str">
        <x:f>'作業計画'!A104</x:f>
        <x:v>00098</x:v>
      </x:c>
      <x:c r="B104" s="204" t="str">
        <x:f>'作業計画'!B104</x:f>
        <x:v>07.UAT</x:v>
      </x:c>
      <x:c r="C104" s="48" t="str">
        <x:f>'作業計画'!C104</x:f>
        <x:v>UAT結果レビュー・受入合意</x:v>
      </x:c>
      <x:c r="D104" s="48" t="str">
        <x:f>'作業計画'!D104</x:f>
        <x:v>業務責任者（要確定）</x:v>
      </x:c>
      <x:c r="E104" s="345" t="n">
        <x:f>IF('作業計画'!O104="","",'作業計画'!O104)</x:f>
        <x:v>46456</x:v>
      </x:c>
      <x:c r="F104" s="345" t="n">
        <x:f>IF('作業計画'!P104="","",'作業計画'!P104)</x:f>
        <x:v>46456</x:v>
      </x:c>
      <x:c r="G104" s="353" t="n">
        <x:f>'作業計画'!U104</x:f>
        <x:v>0</x:v>
      </x:c>
      <x:c r="H104" s="48" t="str">
        <x:f>'作業計画'!V104</x:f>
        <x:v>予定前</x:v>
      </x:c>
      <x:c r="I104" s="370" t="str">
        <x:f>IF(AND($E104&lt;&gt;"",$E104&lt;=I$5+6,$F104&gt;=I$5),"■","")</x:f>
      </x:c>
      <x:c r="J104" s="370" t="str">
        <x:f>IF(AND($E104&lt;&gt;"",$E104&lt;=J$5+6,$F104&gt;=J$5),"■","")</x:f>
      </x:c>
      <x:c r="K104" s="370" t="str">
        <x:f>IF(AND($E104&lt;&gt;"",$E104&lt;=K$5+6,$F104&gt;=K$5),"■","")</x:f>
      </x:c>
      <x:c r="L104" s="370" t="str">
        <x:f>IF(AND($E104&lt;&gt;"",$E104&lt;=L$5+6,$F104&gt;=L$5),"■","")</x:f>
      </x:c>
      <x:c r="M104" s="370" t="str">
        <x:f>IF(AND($E104&lt;&gt;"",$E104&lt;=M$5+6,$F104&gt;=M$5),"■","")</x:f>
      </x:c>
      <x:c r="N104" s="370" t="str">
        <x:f>IF(AND($E104&lt;&gt;"",$E104&lt;=N$5+6,$F104&gt;=N$5),"■","")</x:f>
      </x:c>
      <x:c r="O104" s="370" t="str">
        <x:f>IF(AND($E104&lt;&gt;"",$E104&lt;=O$5+6,$F104&gt;=O$5),"■","")</x:f>
      </x:c>
      <x:c r="P104" s="370" t="str">
        <x:f>IF(AND($E104&lt;&gt;"",$E104&lt;=P$5+6,$F104&gt;=P$5),"■","")</x:f>
      </x:c>
      <x:c r="Q104" s="370" t="str">
        <x:f>IF(AND($E104&lt;&gt;"",$E104&lt;=Q$5+6,$F104&gt;=Q$5),"■","")</x:f>
      </x:c>
      <x:c r="R104" s="370" t="str">
        <x:f>IF(AND($E104&lt;&gt;"",$E104&lt;=R$5+6,$F104&gt;=R$5),"■","")</x:f>
      </x:c>
      <x:c r="S104" s="370" t="str">
        <x:f>IF(AND($E104&lt;&gt;"",$E104&lt;=S$5+6,$F104&gt;=S$5),"■","")</x:f>
      </x:c>
      <x:c r="T104" s="370" t="str">
        <x:f>IF(AND($E104&lt;&gt;"",$E104&lt;=T$5+6,$F104&gt;=T$5),"■","")</x:f>
      </x:c>
      <x:c r="U104" s="370" t="str">
        <x:f>IF(AND($E104&lt;&gt;"",$E104&lt;=U$5+6,$F104&gt;=U$5),"■","")</x:f>
      </x:c>
      <x:c r="V104" s="370" t="str">
        <x:f>IF(AND($E104&lt;&gt;"",$E104&lt;=V$5+6,$F104&gt;=V$5),"■","")</x:f>
      </x:c>
      <x:c r="W104" s="370" t="str">
        <x:f>IF(AND($E104&lt;&gt;"",$E104&lt;=W$5+6,$F104&gt;=W$5),"■","")</x:f>
      </x:c>
      <x:c r="X104" s="370" t="str">
        <x:f>IF(AND($E104&lt;&gt;"",$E104&lt;=X$5+6,$F104&gt;=X$5),"■","")</x:f>
      </x:c>
      <x:c r="Y104" s="370" t="str">
        <x:f>IF(AND($E104&lt;&gt;"",$E104&lt;=Y$5+6,$F104&gt;=Y$5),"■","")</x:f>
      </x:c>
      <x:c r="Z104" s="370" t="str">
        <x:f>IF(AND($E104&lt;&gt;"",$E104&lt;=Z$5+6,$F104&gt;=Z$5),"■","")</x:f>
      </x:c>
      <x:c r="AA104" s="370" t="str">
        <x:f>IF(AND($E104&lt;&gt;"",$E104&lt;=AA$5+6,$F104&gt;=AA$5),"■","")</x:f>
      </x:c>
      <x:c r="AB104" s="370" t="str">
        <x:f>IF(AND($E104&lt;&gt;"",$E104&lt;=AB$5+6,$F104&gt;=AB$5),"■","")</x:f>
      </x:c>
      <x:c r="AC104" s="370" t="str">
        <x:f>IF(AND($E104&lt;&gt;"",$E104&lt;=AC$5+6,$F104&gt;=AC$5),"■","")</x:f>
        <x:v>■</x:v>
      </x:c>
      <x:c r="AD104" s="370" t="str">
        <x:f>IF(AND($E104&lt;&gt;"",$E104&lt;=AD$5+6,$F104&gt;=AD$5),"■","")</x:f>
      </x:c>
      <x:c r="AE104" s="370" t="str">
        <x:f>IF(AND($E104&lt;&gt;"",$E104&lt;=AE$5+6,$F104&gt;=AE$5),"■","")</x:f>
      </x:c>
      <x:c r="AF104" s="370" t="str">
        <x:f>IF(AND($E104&lt;&gt;"",$E104&lt;=AF$5+6,$F104&gt;=AF$5),"■","")</x:f>
      </x:c>
      <x:c r="AG104" s="370" t="str">
        <x:f>IF(AND($E104&lt;&gt;"",$E104&lt;=AG$5+6,$F104&gt;=AG$5),"■","")</x:f>
      </x:c>
      <x:c r="AH104" s="371" t="str">
        <x:f>IF(AND($E104&lt;&gt;"",$E104&lt;=AH$5+6,$F104&gt;=AH$5),"■","")</x:f>
      </x:c>
    </x:row>
    <x:row r="105" ht="38" customHeight="1">
      <x:c r="A105" s="466" t="str">
        <x:f>'作業計画'!A105</x:f>
        <x:v>00099</x:v>
      </x:c>
      <x:c r="B105" s="206" t="str">
        <x:f>'作業計画'!B105</x:f>
        <x:v>08.KT</x:v>
      </x:c>
      <x:c r="C105" s="56" t="str">
        <x:f>'作業計画'!C105</x:f>
        <x:v>GoldLayer運用手順・構成・障害対応資料作成</x:v>
      </x:c>
      <x:c r="D105" s="56" t="str">
        <x:f>'作業計画'!D105</x:f>
        <x:v>開発／運用担当（要確定）</x:v>
      </x:c>
      <x:c r="E105" s="346" t="n">
        <x:f>IF('作業計画'!O105="","",'作業計画'!O105)</x:f>
        <x:v>46408</x:v>
      </x:c>
      <x:c r="F105" s="346" t="n">
        <x:f>IF('作業計画'!P105="","",'作業計画'!P105)</x:f>
        <x:v>46412</x:v>
      </x:c>
      <x:c r="G105" s="354" t="n">
        <x:f>'作業計画'!U105</x:f>
        <x:v>0</x:v>
      </x:c>
      <x:c r="H105" s="56" t="str">
        <x:f>'作業計画'!V105</x:f>
        <x:v>予定前</x:v>
      </x:c>
      <x:c r="I105" s="372" t="str">
        <x:f>IF(AND($E105&lt;&gt;"",$E105&lt;=I$5+6,$F105&gt;=I$5),"■","")</x:f>
      </x:c>
      <x:c r="J105" s="372" t="str">
        <x:f>IF(AND($E105&lt;&gt;"",$E105&lt;=J$5+6,$F105&gt;=J$5),"■","")</x:f>
      </x:c>
      <x:c r="K105" s="372" t="str">
        <x:f>IF(AND($E105&lt;&gt;"",$E105&lt;=K$5+6,$F105&gt;=K$5),"■","")</x:f>
      </x:c>
      <x:c r="L105" s="372" t="str">
        <x:f>IF(AND($E105&lt;&gt;"",$E105&lt;=L$5+6,$F105&gt;=L$5),"■","")</x:f>
      </x:c>
      <x:c r="M105" s="372" t="str">
        <x:f>IF(AND($E105&lt;&gt;"",$E105&lt;=M$5+6,$F105&gt;=M$5),"■","")</x:f>
      </x:c>
      <x:c r="N105" s="372" t="str">
        <x:f>IF(AND($E105&lt;&gt;"",$E105&lt;=N$5+6,$F105&gt;=N$5),"■","")</x:f>
      </x:c>
      <x:c r="O105" s="372" t="str">
        <x:f>IF(AND($E105&lt;&gt;"",$E105&lt;=O$5+6,$F105&gt;=O$5),"■","")</x:f>
      </x:c>
      <x:c r="P105" s="372" t="str">
        <x:f>IF(AND($E105&lt;&gt;"",$E105&lt;=P$5+6,$F105&gt;=P$5),"■","")</x:f>
      </x:c>
      <x:c r="Q105" s="372" t="str">
        <x:f>IF(AND($E105&lt;&gt;"",$E105&lt;=Q$5+6,$F105&gt;=Q$5),"■","")</x:f>
      </x:c>
      <x:c r="R105" s="372" t="str">
        <x:f>IF(AND($E105&lt;&gt;"",$E105&lt;=R$5+6,$F105&gt;=R$5),"■","")</x:f>
      </x:c>
      <x:c r="S105" s="372" t="str">
        <x:f>IF(AND($E105&lt;&gt;"",$E105&lt;=S$5+6,$F105&gt;=S$5),"■","")</x:f>
      </x:c>
      <x:c r="T105" s="372" t="str">
        <x:f>IF(AND($E105&lt;&gt;"",$E105&lt;=T$5+6,$F105&gt;=T$5),"■","")</x:f>
      </x:c>
      <x:c r="U105" s="372" t="str">
        <x:f>IF(AND($E105&lt;&gt;"",$E105&lt;=U$5+6,$F105&gt;=U$5),"■","")</x:f>
      </x:c>
      <x:c r="V105" s="372" t="str">
        <x:f>IF(AND($E105&lt;&gt;"",$E105&lt;=V$5+6,$F105&gt;=V$5),"■","")</x:f>
        <x:v>■</x:v>
      </x:c>
      <x:c r="W105" s="372" t="str">
        <x:f>IF(AND($E105&lt;&gt;"",$E105&lt;=W$5+6,$F105&gt;=W$5),"■","")</x:f>
        <x:v>■</x:v>
      </x:c>
      <x:c r="X105" s="372" t="str">
        <x:f>IF(AND($E105&lt;&gt;"",$E105&lt;=X$5+6,$F105&gt;=X$5),"■","")</x:f>
      </x:c>
      <x:c r="Y105" s="372" t="str">
        <x:f>IF(AND($E105&lt;&gt;"",$E105&lt;=Y$5+6,$F105&gt;=Y$5),"■","")</x:f>
      </x:c>
      <x:c r="Z105" s="372" t="str">
        <x:f>IF(AND($E105&lt;&gt;"",$E105&lt;=Z$5+6,$F105&gt;=Z$5),"■","")</x:f>
      </x:c>
      <x:c r="AA105" s="372" t="str">
        <x:f>IF(AND($E105&lt;&gt;"",$E105&lt;=AA$5+6,$F105&gt;=AA$5),"■","")</x:f>
      </x:c>
      <x:c r="AB105" s="372" t="str">
        <x:f>IF(AND($E105&lt;&gt;"",$E105&lt;=AB$5+6,$F105&gt;=AB$5),"■","")</x:f>
      </x:c>
      <x:c r="AC105" s="372" t="str">
        <x:f>IF(AND($E105&lt;&gt;"",$E105&lt;=AC$5+6,$F105&gt;=AC$5),"■","")</x:f>
      </x:c>
      <x:c r="AD105" s="372" t="str">
        <x:f>IF(AND($E105&lt;&gt;"",$E105&lt;=AD$5+6,$F105&gt;=AD$5),"■","")</x:f>
      </x:c>
      <x:c r="AE105" s="372" t="str">
        <x:f>IF(AND($E105&lt;&gt;"",$E105&lt;=AE$5+6,$F105&gt;=AE$5),"■","")</x:f>
      </x:c>
      <x:c r="AF105" s="372" t="str">
        <x:f>IF(AND($E105&lt;&gt;"",$E105&lt;=AF$5+6,$F105&gt;=AF$5),"■","")</x:f>
      </x:c>
      <x:c r="AG105" s="372" t="str">
        <x:f>IF(AND($E105&lt;&gt;"",$E105&lt;=AG$5+6,$F105&gt;=AG$5),"■","")</x:f>
      </x:c>
      <x:c r="AH105" s="373" t="str">
        <x:f>IF(AND($E105&lt;&gt;"",$E105&lt;=AH$5+6,$F105&gt;=AH$5),"■","")</x:f>
      </x:c>
    </x:row>
    <x:row r="106" ht="38" customHeight="1">
      <x:c r="A106" s="465" t="str">
        <x:f>'作業計画'!A106</x:f>
        <x:v>00100</x:v>
      </x:c>
      <x:c r="B106" s="206" t="str">
        <x:f>'作業計画'!B106</x:f>
        <x:v>08.KT</x:v>
      </x:c>
      <x:c r="C106" s="48" t="str">
        <x:f>'作業計画'!C106</x:f>
        <x:v>Datalake運用チーム向けGoldLayer KT実施</x:v>
      </x:c>
      <x:c r="D106" s="48" t="str">
        <x:f>'作業計画'!D106</x:f>
        <x:v>開発担当／Datalake運用チーム</x:v>
      </x:c>
      <x:c r="E106" s="345" t="n">
        <x:f>IF('作業計画'!O106="","",'作業計画'!O106)</x:f>
        <x:v>46457</x:v>
      </x:c>
      <x:c r="F106" s="345" t="n">
        <x:f>IF('作業計画'!P106="","",'作業計画'!P106)</x:f>
        <x:v>46458</x:v>
      </x:c>
      <x:c r="G106" s="353" t="n">
        <x:f>'作業計画'!U106</x:f>
        <x:v>0</x:v>
      </x:c>
      <x:c r="H106" s="48" t="str">
        <x:f>'作業計画'!V106</x:f>
        <x:v>予定前</x:v>
      </x:c>
      <x:c r="I106" s="370" t="str">
        <x:f>IF(AND($E106&lt;&gt;"",$E106&lt;=I$5+6,$F106&gt;=I$5),"■","")</x:f>
      </x:c>
      <x:c r="J106" s="370" t="str">
        <x:f>IF(AND($E106&lt;&gt;"",$E106&lt;=J$5+6,$F106&gt;=J$5),"■","")</x:f>
      </x:c>
      <x:c r="K106" s="370" t="str">
        <x:f>IF(AND($E106&lt;&gt;"",$E106&lt;=K$5+6,$F106&gt;=K$5),"■","")</x:f>
      </x:c>
      <x:c r="L106" s="370" t="str">
        <x:f>IF(AND($E106&lt;&gt;"",$E106&lt;=L$5+6,$F106&gt;=L$5),"■","")</x:f>
      </x:c>
      <x:c r="M106" s="370" t="str">
        <x:f>IF(AND($E106&lt;&gt;"",$E106&lt;=M$5+6,$F106&gt;=M$5),"■","")</x:f>
      </x:c>
      <x:c r="N106" s="370" t="str">
        <x:f>IF(AND($E106&lt;&gt;"",$E106&lt;=N$5+6,$F106&gt;=N$5),"■","")</x:f>
      </x:c>
      <x:c r="O106" s="370" t="str">
        <x:f>IF(AND($E106&lt;&gt;"",$E106&lt;=O$5+6,$F106&gt;=O$5),"■","")</x:f>
      </x:c>
      <x:c r="P106" s="370" t="str">
        <x:f>IF(AND($E106&lt;&gt;"",$E106&lt;=P$5+6,$F106&gt;=P$5),"■","")</x:f>
      </x:c>
      <x:c r="Q106" s="370" t="str">
        <x:f>IF(AND($E106&lt;&gt;"",$E106&lt;=Q$5+6,$F106&gt;=Q$5),"■","")</x:f>
      </x:c>
      <x:c r="R106" s="370" t="str">
        <x:f>IF(AND($E106&lt;&gt;"",$E106&lt;=R$5+6,$F106&gt;=R$5),"■","")</x:f>
      </x:c>
      <x:c r="S106" s="370" t="str">
        <x:f>IF(AND($E106&lt;&gt;"",$E106&lt;=S$5+6,$F106&gt;=S$5),"■","")</x:f>
      </x:c>
      <x:c r="T106" s="370" t="str">
        <x:f>IF(AND($E106&lt;&gt;"",$E106&lt;=T$5+6,$F106&gt;=T$5),"■","")</x:f>
      </x:c>
      <x:c r="U106" s="370" t="str">
        <x:f>IF(AND($E106&lt;&gt;"",$E106&lt;=U$5+6,$F106&gt;=U$5),"■","")</x:f>
      </x:c>
      <x:c r="V106" s="370" t="str">
        <x:f>IF(AND($E106&lt;&gt;"",$E106&lt;=V$5+6,$F106&gt;=V$5),"■","")</x:f>
      </x:c>
      <x:c r="W106" s="370" t="str">
        <x:f>IF(AND($E106&lt;&gt;"",$E106&lt;=W$5+6,$F106&gt;=W$5),"■","")</x:f>
      </x:c>
      <x:c r="X106" s="370" t="str">
        <x:f>IF(AND($E106&lt;&gt;"",$E106&lt;=X$5+6,$F106&gt;=X$5),"■","")</x:f>
      </x:c>
      <x:c r="Y106" s="370" t="str">
        <x:f>IF(AND($E106&lt;&gt;"",$E106&lt;=Y$5+6,$F106&gt;=Y$5),"■","")</x:f>
      </x:c>
      <x:c r="Z106" s="370" t="str">
        <x:f>IF(AND($E106&lt;&gt;"",$E106&lt;=Z$5+6,$F106&gt;=Z$5),"■","")</x:f>
      </x:c>
      <x:c r="AA106" s="370" t="str">
        <x:f>IF(AND($E106&lt;&gt;"",$E106&lt;=AA$5+6,$F106&gt;=AA$5),"■","")</x:f>
      </x:c>
      <x:c r="AB106" s="370" t="str">
        <x:f>IF(AND($E106&lt;&gt;"",$E106&lt;=AB$5+6,$F106&gt;=AB$5),"■","")</x:f>
      </x:c>
      <x:c r="AC106" s="370" t="str">
        <x:f>IF(AND($E106&lt;&gt;"",$E106&lt;=AC$5+6,$F106&gt;=AC$5),"■","")</x:f>
        <x:v>■</x:v>
      </x:c>
      <x:c r="AD106" s="370" t="str">
        <x:f>IF(AND($E106&lt;&gt;"",$E106&lt;=AD$5+6,$F106&gt;=AD$5),"■","")</x:f>
      </x:c>
      <x:c r="AE106" s="370" t="str">
        <x:f>IF(AND($E106&lt;&gt;"",$E106&lt;=AE$5+6,$F106&gt;=AE$5),"■","")</x:f>
      </x:c>
      <x:c r="AF106" s="370" t="str">
        <x:f>IF(AND($E106&lt;&gt;"",$E106&lt;=AF$5+6,$F106&gt;=AF$5),"■","")</x:f>
      </x:c>
      <x:c r="AG106" s="370" t="str">
        <x:f>IF(AND($E106&lt;&gt;"",$E106&lt;=AG$5+6,$F106&gt;=AG$5),"■","")</x:f>
      </x:c>
      <x:c r="AH106" s="371" t="str">
        <x:f>IF(AND($E106&lt;&gt;"",$E106&lt;=AH$5+6,$F106&gt;=AH$5),"■","")</x:f>
      </x:c>
    </x:row>
    <x:row r="107" ht="38" customHeight="1">
      <x:c r="A107" s="467" t="str">
        <x:f>'作業計画'!A107</x:f>
        <x:v>00101</x:v>
      </x:c>
      <x:c r="B107" s="208" t="str">
        <x:f>'作業計画'!B107</x:f>
        <x:v>08.KT</x:v>
      </x:c>
      <x:c r="C107" s="66" t="str">
        <x:f>'作業計画'!C107</x:f>
        <x:v>KT質疑対応・引継ぎ完了確認</x:v>
      </x:c>
      <x:c r="D107" s="66" t="str">
        <x:f>'作業計画'!D107</x:f>
        <x:v>開発担当／Datalake運用チーム</x:v>
      </x:c>
      <x:c r="E107" s="347" t="n">
        <x:f>IF('作業計画'!O107="","",'作業計画'!O107)</x:f>
        <x:v>46461</x:v>
      </x:c>
      <x:c r="F107" s="347" t="n">
        <x:f>IF('作業計画'!P107="","",'作業計画'!P107)</x:f>
        <x:v>46461</x:v>
      </x:c>
      <x:c r="G107" s="355" t="n">
        <x:f>'作業計画'!U107</x:f>
        <x:v>0</x:v>
      </x:c>
      <x:c r="H107" s="66" t="str">
        <x:f>'作業計画'!V107</x:f>
        <x:v>予定前</x:v>
      </x:c>
      <x:c r="I107" s="374" t="str">
        <x:f>IF(AND($E107&lt;&gt;"",$E107&lt;=I$5+6,$F107&gt;=I$5),"■","")</x:f>
      </x:c>
      <x:c r="J107" s="374" t="str">
        <x:f>IF(AND($E107&lt;&gt;"",$E107&lt;=J$5+6,$F107&gt;=J$5),"■","")</x:f>
      </x:c>
      <x:c r="K107" s="374" t="str">
        <x:f>IF(AND($E107&lt;&gt;"",$E107&lt;=K$5+6,$F107&gt;=K$5),"■","")</x:f>
      </x:c>
      <x:c r="L107" s="374" t="str">
        <x:f>IF(AND($E107&lt;&gt;"",$E107&lt;=L$5+6,$F107&gt;=L$5),"■","")</x:f>
      </x:c>
      <x:c r="M107" s="374" t="str">
        <x:f>IF(AND($E107&lt;&gt;"",$E107&lt;=M$5+6,$F107&gt;=M$5),"■","")</x:f>
      </x:c>
      <x:c r="N107" s="374" t="str">
        <x:f>IF(AND($E107&lt;&gt;"",$E107&lt;=N$5+6,$F107&gt;=N$5),"■","")</x:f>
      </x:c>
      <x:c r="O107" s="374" t="str">
        <x:f>IF(AND($E107&lt;&gt;"",$E107&lt;=O$5+6,$F107&gt;=O$5),"■","")</x:f>
      </x:c>
      <x:c r="P107" s="374" t="str">
        <x:f>IF(AND($E107&lt;&gt;"",$E107&lt;=P$5+6,$F107&gt;=P$5),"■","")</x:f>
      </x:c>
      <x:c r="Q107" s="374" t="str">
        <x:f>IF(AND($E107&lt;&gt;"",$E107&lt;=Q$5+6,$F107&gt;=Q$5),"■","")</x:f>
      </x:c>
      <x:c r="R107" s="374" t="str">
        <x:f>IF(AND($E107&lt;&gt;"",$E107&lt;=R$5+6,$F107&gt;=R$5),"■","")</x:f>
      </x:c>
      <x:c r="S107" s="374" t="str">
        <x:f>IF(AND($E107&lt;&gt;"",$E107&lt;=S$5+6,$F107&gt;=S$5),"■","")</x:f>
      </x:c>
      <x:c r="T107" s="374" t="str">
        <x:f>IF(AND($E107&lt;&gt;"",$E107&lt;=T$5+6,$F107&gt;=T$5),"■","")</x:f>
      </x:c>
      <x:c r="U107" s="374" t="str">
        <x:f>IF(AND($E107&lt;&gt;"",$E107&lt;=U$5+6,$F107&gt;=U$5),"■","")</x:f>
      </x:c>
      <x:c r="V107" s="374" t="str">
        <x:f>IF(AND($E107&lt;&gt;"",$E107&lt;=V$5+6,$F107&gt;=V$5),"■","")</x:f>
      </x:c>
      <x:c r="W107" s="374" t="str">
        <x:f>IF(AND($E107&lt;&gt;"",$E107&lt;=W$5+6,$F107&gt;=W$5),"■","")</x:f>
      </x:c>
      <x:c r="X107" s="374" t="str">
        <x:f>IF(AND($E107&lt;&gt;"",$E107&lt;=X$5+6,$F107&gt;=X$5),"■","")</x:f>
      </x:c>
      <x:c r="Y107" s="374" t="str">
        <x:f>IF(AND($E107&lt;&gt;"",$E107&lt;=Y$5+6,$F107&gt;=Y$5),"■","")</x:f>
      </x:c>
      <x:c r="Z107" s="374" t="str">
        <x:f>IF(AND($E107&lt;&gt;"",$E107&lt;=Z$5+6,$F107&gt;=Z$5),"■","")</x:f>
      </x:c>
      <x:c r="AA107" s="374" t="str">
        <x:f>IF(AND($E107&lt;&gt;"",$E107&lt;=AA$5+6,$F107&gt;=AA$5),"■","")</x:f>
      </x:c>
      <x:c r="AB107" s="374" t="str">
        <x:f>IF(AND($E107&lt;&gt;"",$E107&lt;=AB$5+6,$F107&gt;=AB$5),"■","")</x:f>
      </x:c>
      <x:c r="AC107" s="374" t="str">
        <x:f>IF(AND($E107&lt;&gt;"",$E107&lt;=AC$5+6,$F107&gt;=AC$5),"■","")</x:f>
      </x:c>
      <x:c r="AD107" s="374" t="str">
        <x:f>IF(AND($E107&lt;&gt;"",$E107&lt;=AD$5+6,$F107&gt;=AD$5),"■","")</x:f>
        <x:v>■</x:v>
      </x:c>
      <x:c r="AE107" s="374" t="str">
        <x:f>IF(AND($E107&lt;&gt;"",$E107&lt;=AE$5+6,$F107&gt;=AE$5),"■","")</x:f>
      </x:c>
      <x:c r="AF107" s="374" t="str">
        <x:f>IF(AND($E107&lt;&gt;"",$E107&lt;=AF$5+6,$F107&gt;=AF$5),"■","")</x:f>
      </x:c>
      <x:c r="AG107" s="374" t="str">
        <x:f>IF(AND($E107&lt;&gt;"",$E107&lt;=AG$5+6,$F107&gt;=AG$5),"■","")</x:f>
      </x:c>
      <x:c r="AH107" s="375" t="str">
        <x:f>IF(AND($E107&lt;&gt;"",$E107&lt;=AH$5+6,$F107&gt;=AH$5),"■","")</x:f>
      </x:c>
    </x:row>
  </x:sheetData>
  <x:mergeCells>
    <x:mergeCell ref="A1:AH1"/>
    <x:mergeCell ref="A2:AH2"/>
    <x:mergeCell ref="A4:H4"/>
    <x:mergeCell ref="I4:AH4"/>
  </x:mergeCells>
  <x:conditionalFormatting sqref="I7:AH107">
    <x:cfRule type="expression" dxfId="2" priority="1">
      <x:formula>AND($E7&lt;&gt;"",$E7&lt;=I$5+6,$F7&gt;=I$5)</x:formula>
    </x:cfRule>
    <x:cfRule type="expression" dxfId="3" priority="2">
      <x:formula>AND($E7&lt;&gt;"",$E7&lt;=I$5+6,$F7&gt;=I$5,$G7&gt;=1)</x:formula>
    </x:cfRule>
  </x:conditionalFormatting>
  <x:conditionalFormatting sqref="I5:AH6">
    <x:cfRule type="expression" dxfId="4" priority="3">
      <x:formula>AND(I$5&lt;='設定'!$B$5,I$5+6&gt;='設定'!$B$5)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1" ySplit="5" topLeftCell="B6" activePane="bottomRight" state="frozen"/>
    </x:sheetView>
  </x:sheetViews>
  <x:sheetFormatPr defaultRowHeight="15"/>
  <x:cols>
    <x:col min="1" max="1" width="8" hidden="0" customWidth="1"/>
    <x:col min="2" max="2" width="17" hidden="0" customWidth="1"/>
    <x:col min="3" max="3" width="10" hidden="0" customWidth="1"/>
    <x:col min="4" max="4" width="26" hidden="0" customWidth="1"/>
    <x:col min="5" max="5" width="25" hidden="0" customWidth="1"/>
    <x:col min="6" max="6" width="58" hidden="0" customWidth="1"/>
    <x:col min="7" max="7" width="53" hidden="0" customWidth="1"/>
    <x:col min="8" max="8" width="48" hidden="0" customWidth="1"/>
    <x:col min="9" max="9" width="9" hidden="0" customWidth="1"/>
    <x:col min="10" max="10" width="12" hidden="0" customWidth="1"/>
    <x:col min="11" max="11" width="39" hidden="0" customWidth="1"/>
  </x:cols>
  <x:sheetData>
    <x:row r="1" ht="32" customHeight="1">
      <x:c r="A1" s="41" t="str">
        <x:v>元資料対応｜作業内容 No.1–64 の反映確認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</x:row>
    <x:row r="2" ht="28" customHeight="1">
      <x:c r="A2" s="49" t="str">
        <x:v>5枚の画像で読めるNo.1～64を転記・要約。空欄は元資料に具体記載がない箇所です。タスク展開と補足を識別しています。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</x:row>
    <x:row r="3" ht="22" customHeight="1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 ht="22" customHeight="1">
      <x:c r="A4" s="30"/>
      <x:c r="B4" s="30"/>
      <x:c r="C4" s="30"/>
      <x:c r="D4" s="30"/>
      <x:c r="E4" s="30"/>
      <x:c r="F4" s="30"/>
      <x:c r="G4" s="30"/>
      <x:c r="H4" s="30"/>
      <x:c r="I4" s="30"/>
      <x:c r="J4" s="30"/>
      <x:c r="K4" s="30"/>
    </x:row>
    <x:row r="5" ht="34" customHeight="1">
      <x:c r="A5" s="212" t="str">
        <x:v>元No.</x:v>
      </x:c>
      <x:c r="B5" s="212" t="str">
        <x:v>画像</x:v>
      </x:c>
      <x:c r="C5" s="212" t="str">
        <x:v>区分</x:v>
      </x:c>
      <x:c r="D5" s="212" t="str">
        <x:v>概要</x:v>
      </x:c>
      <x:c r="E5" s="212" t="str">
        <x:v>詳細</x:v>
      </x:c>
      <x:c r="F5" s="212" t="str">
        <x:v>説明（転記・要約）</x:v>
      </x:c>
      <x:c r="G5" s="212" t="str">
        <x:v>メモ（転記・要約）</x:v>
      </x:c>
      <x:c r="H5" s="212" t="str">
        <x:v>WBSタスクID</x:v>
      </x:c>
      <x:c r="I5" s="212" t="str">
        <x:v>反映数</x:v>
      </x:c>
      <x:c r="J5" s="212" t="str">
        <x:v>反映確認</x:v>
      </x:c>
      <x:c r="K5" s="212" t="str">
        <x:v>出典</x:v>
      </x:c>
    </x:row>
    <x:row r="6" ht="72" customHeight="1">
      <x:c r="A6" s="390" t="n">
        <x:v>1</x:v>
      </x:c>
      <x:c r="B6" s="148" t="str">
        <x:v>作業内容画像1</x:v>
      </x:c>
      <x:c r="C6" s="148" t="str">
        <x:v>準備</x:v>
      </x:c>
      <x:c r="D6" s="59" t="str">
        <x:v>プロジェクトの進め方</x:v>
      </x:c>
      <x:c r="E6" s="59" t="str"/>
      <x:c r="F6" s="59" t="str"/>
      <x:c r="G6" s="59" t="str"/>
      <x:c r="H6" s="59" t="str">
        <x:v>00001</x:v>
      </x:c>
      <x:c r="I6" s="148" t="n">
        <x:f>COUNTA('作業計画'!A7)</x:f>
        <x:v>1</x:v>
      </x:c>
      <x:c r="J6" s="148" t="str">
        <x:f>IF(I6&gt;0,"反映済","未反映")</x:f>
        <x:v>反映済</x:v>
      </x:c>
      <x:c r="K6" s="60" t="str">
        <x:v>ユーザー提供：作業内容画像1・No.1</x:v>
      </x:c>
    </x:row>
    <x:row r="7" ht="72" customHeight="1">
      <x:c r="A7" s="391" t="n">
        <x:v>2</x:v>
      </x:c>
      <x:c r="B7" s="149" t="str">
        <x:v>作業内容画像1</x:v>
      </x:c>
      <x:c r="C7" s="149" t="str">
        <x:v>準備</x:v>
      </x:c>
      <x:c r="D7" s="48" t="str">
        <x:v>スコープ</x:v>
      </x:c>
      <x:c r="E7" s="48" t="str">
        <x:v>作成テーブルの確認</x:v>
      </x:c>
      <x:c r="F7" s="48" t="str">
        <x:v>As-Is：Product、Contact、Account、AccountContact、SalesRepHospital、HospitalSalesAmount。To-Be：①～⑤を作成。</x:v>
      </x:c>
      <x:c r="G7" s="48" t="str">
        <x:v>HospitalSalesAmountはTo-Be作成対象外。</x:v>
      </x:c>
      <x:c r="H7" s="48" t="str">
        <x:v>00002</x:v>
      </x:c>
      <x:c r="I7" s="149" t="n">
        <x:f>COUNTA('作業計画'!A8)</x:f>
        <x:v>1</x:v>
      </x:c>
      <x:c r="J7" s="149" t="str">
        <x:f>IF(I7&gt;0,"反映済","未反映")</x:f>
        <x:v>反映済</x:v>
      </x:c>
      <x:c r="K7" s="62" t="str">
        <x:v>ユーザー提供：作業内容画像1・No.2</x:v>
      </x:c>
    </x:row>
    <x:row r="8" ht="72" customHeight="1">
      <x:c r="A8" s="392" t="n">
        <x:v>3</x:v>
      </x:c>
      <x:c r="B8" s="150" t="str">
        <x:v>作業内容画像1</x:v>
      </x:c>
      <x:c r="C8" s="150" t="str">
        <x:v>準備</x:v>
      </x:c>
      <x:c r="D8" s="56" t="str">
        <x:v>目的・前提条件</x:v>
      </x:c>
      <x:c r="E8" s="56" t="str">
        <x:v>目的・前提条件の共有</x:v>
      </x:c>
      <x:c r="F8" s="56" t="str"/>
      <x:c r="G8" s="56" t="str"/>
      <x:c r="H8" s="56" t="str">
        <x:v>00003</x:v>
      </x:c>
      <x:c r="I8" s="150" t="n">
        <x:f>COUNTA('作業計画'!A9)</x:f>
        <x:v>1</x:v>
      </x:c>
      <x:c r="J8" s="150" t="str">
        <x:f>IF(I8&gt;0,"反映済","未反映")</x:f>
        <x:v>反映済</x:v>
      </x:c>
      <x:c r="K8" s="64" t="str">
        <x:v>ユーザー提供：作業内容画像1・No.3</x:v>
      </x:c>
    </x:row>
    <x:row r="9" ht="72" customHeight="1">
      <x:c r="A9" s="391" t="n">
        <x:v>4</x:v>
      </x:c>
      <x:c r="B9" s="149" t="str">
        <x:v>作業内容画像1</x:v>
      </x:c>
      <x:c r="C9" s="149" t="str">
        <x:v>準備</x:v>
      </x:c>
      <x:c r="D9" s="48" t="str">
        <x:v>スケジュール</x:v>
      </x:c>
      <x:c r="E9" s="48" t="str">
        <x:v>スケジュール作成</x:v>
      </x:c>
      <x:c r="F9" s="48" t="str"/>
      <x:c r="G9" s="48" t="str"/>
      <x:c r="H9" s="48" t="str">
        <x:v>00010</x:v>
      </x:c>
      <x:c r="I9" s="149" t="n">
        <x:f>COUNTA('作業計画'!A16)</x:f>
        <x:v>1</x:v>
      </x:c>
      <x:c r="J9" s="149" t="str">
        <x:f>IF(I9&gt;0,"反映済","未反映")</x:f>
        <x:v>反映済</x:v>
      </x:c>
      <x:c r="K9" s="62" t="str">
        <x:v>ユーザー提供：作業内容画像1・No.4</x:v>
      </x:c>
    </x:row>
    <x:row r="10" ht="72" customHeight="1">
      <x:c r="A10" s="392" t="n">
        <x:v>5</x:v>
      </x:c>
      <x:c r="B10" s="150" t="str">
        <x:v>作業内容画像1</x:v>
      </x:c>
      <x:c r="C10" s="150" t="str">
        <x:v>準備</x:v>
      </x:c>
      <x:c r="D10" s="56" t="str">
        <x:v>既存処理の確認</x:v>
      </x:c>
      <x:c r="E10" s="56" t="str">
        <x:v>As-Isの確認</x:v>
      </x:c>
      <x:c r="F10" s="56" t="str">
        <x:v>現状のアーキテクチャを確認 →OK</x:v>
      </x:c>
      <x:c r="G10" s="56" t="str"/>
      <x:c r="H10" s="56" t="str">
        <x:v>00004</x:v>
      </x:c>
      <x:c r="I10" s="150" t="n">
        <x:f>COUNTA('作業計画'!A10)</x:f>
        <x:v>1</x:v>
      </x:c>
      <x:c r="J10" s="150" t="str">
        <x:f>IF(I10&gt;0,"反映済","未反映")</x:f>
        <x:v>反映済</x:v>
      </x:c>
      <x:c r="K10" s="64" t="str">
        <x:v>ユーザー提供：作業内容画像1・No.5</x:v>
      </x:c>
    </x:row>
    <x:row r="11" ht="72" customHeight="1">
      <x:c r="A11" s="391" t="n">
        <x:v>6</x:v>
      </x:c>
      <x:c r="B11" s="149" t="str">
        <x:v>作業内容画像1</x:v>
      </x:c>
      <x:c r="C11" s="149" t="str">
        <x:v>準備</x:v>
      </x:c>
      <x:c r="D11" s="48" t="str">
        <x:v>既存処理の確認</x:v>
      </x:c>
      <x:c r="E11" s="48" t="str">
        <x:v>As-Isの確認</x:v>
      </x:c>
      <x:c r="F11" s="48" t="str">
        <x:v>dataiku処理の確認（→完了済み）</x:v>
      </x:c>
      <x:c r="G11" s="48" t="str">
        <x:v>OUTPUTテーブル名、列名、型を先に決める。</x:v>
      </x:c>
      <x:c r="H11" s="48" t="str">
        <x:v>00005</x:v>
      </x:c>
      <x:c r="I11" s="149" t="n">
        <x:f>COUNTA('作業計画'!A11)</x:f>
        <x:v>1</x:v>
      </x:c>
      <x:c r="J11" s="149" t="str">
        <x:f>IF(I11&gt;0,"反映済","未反映")</x:f>
        <x:v>反映済</x:v>
      </x:c>
      <x:c r="K11" s="62" t="str">
        <x:v>ユーザー提供：作業内容画像1・No.6</x:v>
      </x:c>
    </x:row>
    <x:row r="12" ht="72" customHeight="1">
      <x:c r="A12" s="392" t="n">
        <x:v>7</x:v>
      </x:c>
      <x:c r="B12" s="150" t="str">
        <x:v>作業内容画像1</x:v>
      </x:c>
      <x:c r="C12" s="150" t="str">
        <x:v>準備</x:v>
      </x:c>
      <x:c r="D12" s="56" t="str">
        <x:v>既存処理の確認</x:v>
      </x:c>
      <x:c r="E12" s="56" t="str">
        <x:v>As-Isの確認</x:v>
      </x:c>
      <x:c r="F12" s="56" t="str">
        <x:v>dataiku各処理の更新頻度・タイミング・SLA</x:v>
      </x:c>
      <x:c r="G12" s="56" t="str">
        <x:v>Dataverseにデータが入るのが8時ごろになっても問題ないか確認（冨士谷さん）。</x:v>
      </x:c>
      <x:c r="H12" s="56" t="str">
        <x:v>00006</x:v>
      </x:c>
      <x:c r="I12" s="150" t="n">
        <x:f>COUNTA('作業計画'!A12)</x:f>
        <x:v>1</x:v>
      </x:c>
      <x:c r="J12" s="150" t="str">
        <x:f>IF(I12&gt;0,"反映済","未反映")</x:f>
        <x:v>反映済</x:v>
      </x:c>
      <x:c r="K12" s="64" t="str">
        <x:v>ユーザー提供：作業内容画像1・No.7</x:v>
      </x:c>
    </x:row>
    <x:row r="13" ht="72" customHeight="1">
      <x:c r="A13" s="391" t="n">
        <x:v>8</x:v>
      </x:c>
      <x:c r="B13" s="149" t="str">
        <x:v>作業内容画像1</x:v>
      </x:c>
      <x:c r="C13" s="149" t="str">
        <x:v>準備</x:v>
      </x:c>
      <x:c r="D13" s="48" t="str">
        <x:v>既存処理の確認</x:v>
      </x:c>
      <x:c r="E13" s="48" t="str">
        <x:v>As-Isの確認</x:v>
      </x:c>
      <x:c r="F13" s="48" t="str">
        <x:v>dataiku例外処理、通知先</x:v>
      </x:c>
      <x:c r="G13" s="48" t="str">
        <x:v>エラー時メール送信（宛先は要相談）。</x:v>
      </x:c>
      <x:c r="H13" s="48" t="str">
        <x:v>00007</x:v>
      </x:c>
      <x:c r="I13" s="149" t="n">
        <x:f>COUNTA('作業計画'!A13)</x:f>
        <x:v>1</x:v>
      </x:c>
      <x:c r="J13" s="149" t="str">
        <x:f>IF(I13&gt;0,"反映済","未反映")</x:f>
        <x:v>反映済</x:v>
      </x:c>
      <x:c r="K13" s="62" t="str">
        <x:v>ユーザー提供：作業内容画像1・No.8</x:v>
      </x:c>
    </x:row>
    <x:row r="14" ht="72" customHeight="1">
      <x:c r="A14" s="392" t="n">
        <x:v>9</x:v>
      </x:c>
      <x:c r="B14" s="150" t="str">
        <x:v>作業内容画像1</x:v>
      </x:c>
      <x:c r="C14" s="150" t="str">
        <x:v>準備</x:v>
      </x:c>
      <x:c r="D14" s="56" t="str">
        <x:v>既存処理の確認</x:v>
      </x:c>
      <x:c r="E14" s="56" t="str">
        <x:v>As-Isの確認</x:v>
      </x:c>
      <x:c r="F14" s="56" t="str">
        <x:v>Redshift各データソースの更新時間（何時のデータが最新か）。INPUTデータソースが決まってから調査。</x:v>
      </x:c>
      <x:c r="G14" s="56" t="str">
        <x:v>Irisチケットを起票してテーブルリストを添付する。</x:v>
      </x:c>
      <x:c r="H14" s="56" t="str">
        <x:v>00008</x:v>
      </x:c>
      <x:c r="I14" s="150" t="n">
        <x:f>COUNTA('作業計画'!A14)</x:f>
        <x:v>1</x:v>
      </x:c>
      <x:c r="J14" s="150" t="str">
        <x:f>IF(I14&gt;0,"反映済","未反映")</x:f>
        <x:v>反映済</x:v>
      </x:c>
      <x:c r="K14" s="64" t="str">
        <x:v>ユーザー提供：作業内容画像1・No.9</x:v>
      </x:c>
    </x:row>
    <x:row r="15" ht="72" customHeight="1">
      <x:c r="A15" s="391" t="n">
        <x:v>10</x:v>
      </x:c>
      <x:c r="B15" s="149" t="str">
        <x:v>作業内容画像1</x:v>
      </x:c>
      <x:c r="C15" s="149" t="str">
        <x:v>準備</x:v>
      </x:c>
      <x:c r="D15" s="48" t="str">
        <x:v>DPSは必要か決める</x:v>
      </x:c>
      <x:c r="E15" s="48" t="str"/>
      <x:c r="F15" s="48" t="str">
        <x:v>本プロジェクトでDPSに関する処理は必要／不要を決める。</x:v>
      </x:c>
      <x:c r="G15" s="48" t="str">
        <x:v>すささんに確認。</x:v>
      </x:c>
      <x:c r="H15" s="48" t="str">
        <x:v>00009</x:v>
      </x:c>
      <x:c r="I15" s="149" t="n">
        <x:f>COUNTA('作業計画'!A15)</x:f>
        <x:v>1</x:v>
      </x:c>
      <x:c r="J15" s="149" t="str">
        <x:f>IF(I15&gt;0,"反映済","未反映")</x:f>
        <x:v>反映済</x:v>
      </x:c>
      <x:c r="K15" s="62" t="str">
        <x:v>ユーザー提供：作業内容画像1・No.10</x:v>
      </x:c>
    </x:row>
    <x:row r="16" ht="72" customHeight="1">
      <x:c r="A16" s="392" t="n">
        <x:v>11</x:v>
      </x:c>
      <x:c r="B16" s="150" t="str">
        <x:v>作業内容画像2</x:v>
      </x:c>
      <x:c r="C16" s="150" t="str">
        <x:v>設計</x:v>
      </x:c>
      <x:c r="D16" s="56" t="str">
        <x:v>アーキテクチャ</x:v>
      </x:c>
      <x:c r="E16" s="56" t="str">
        <x:v>To-Beアーキテクチャ作成</x:v>
      </x:c>
      <x:c r="F16" s="56" t="str">
        <x:v>システム全体の構成、今回の開発範囲のアーキテクチャを作成。</x:v>
      </x:c>
      <x:c r="G16" s="56" t="str"/>
      <x:c r="H16" s="56" t="str">
        <x:v>00013</x:v>
      </x:c>
      <x:c r="I16" s="150" t="n">
        <x:f>COUNTA('作業計画'!A19)</x:f>
        <x:v>1</x:v>
      </x:c>
      <x:c r="J16" s="150" t="str">
        <x:f>IF(I16&gt;0,"反映済","未反映")</x:f>
        <x:v>反映済</x:v>
      </x:c>
      <x:c r="K16" s="64" t="str">
        <x:v>ユーザー提供：作業内容画像2・No.11</x:v>
      </x:c>
    </x:row>
    <x:row r="17" ht="72" customHeight="1">
      <x:c r="A17" s="391" t="n">
        <x:v>12</x:v>
      </x:c>
      <x:c r="B17" s="149" t="str">
        <x:v>作業内容画像2</x:v>
      </x:c>
      <x:c r="C17" s="149" t="str">
        <x:v>設計</x:v>
      </x:c>
      <x:c r="D17" s="48" t="str">
        <x:v>アーキテクチャ</x:v>
      </x:c>
      <x:c r="E17" s="48" t="str">
        <x:v>To-Beアーキテクチャ作成</x:v>
      </x:c>
      <x:c r="F17" s="48" t="str">
        <x:v>NextForceの開発環境に対し、Fabric Lakehouseから接続してデータコピーしてよいか確認。</x:v>
      </x:c>
      <x:c r="G17" s="48" t="str">
        <x:v>しまださんに確認。</x:v>
      </x:c>
      <x:c r="H17" s="48" t="str">
        <x:v>00014</x:v>
      </x:c>
      <x:c r="I17" s="149" t="n">
        <x:f>COUNTA('作業計画'!A20)</x:f>
        <x:v>1</x:v>
      </x:c>
      <x:c r="J17" s="149" t="str">
        <x:f>IF(I17&gt;0,"反映済","未反映")</x:f>
        <x:v>反映済</x:v>
      </x:c>
      <x:c r="K17" s="62" t="str">
        <x:v>ユーザー提供：作業内容画像2・No.12</x:v>
      </x:c>
    </x:row>
    <x:row r="18" ht="72" customHeight="1">
      <x:c r="A18" s="392" t="n">
        <x:v>13</x:v>
      </x:c>
      <x:c r="B18" s="150" t="str">
        <x:v>作業内容画像2</x:v>
      </x:c>
      <x:c r="C18" s="150" t="str">
        <x:v>準備</x:v>
      </x:c>
      <x:c r="D18" s="56" t="str">
        <x:v>計画書</x:v>
      </x:c>
      <x:c r="E18" s="56" t="str">
        <x:v>プロジェクト計画書作成</x:v>
      </x:c>
      <x:c r="F18" s="56" t="str">
        <x:v>目的、スコープ、メンバー、タイムライン（暫定）、暫定アーキテクチャ、リスク・懸念点。</x:v>
      </x:c>
      <x:c r="G18" s="56" t="str">
        <x:v>メンバー：楊さんは入れる。クレアさんは申請中。</x:v>
      </x:c>
      <x:c r="H18" s="56" t="str">
        <x:v>00011</x:v>
      </x:c>
      <x:c r="I18" s="150" t="n">
        <x:f>COUNTA('作業計画'!A17)</x:f>
        <x:v>1</x:v>
      </x:c>
      <x:c r="J18" s="150" t="str">
        <x:f>IF(I18&gt;0,"反映済","未反映")</x:f>
        <x:v>反映済</x:v>
      </x:c>
      <x:c r="K18" s="64" t="str">
        <x:v>ユーザー提供：作業内容画像2・No.13</x:v>
      </x:c>
    </x:row>
    <x:row r="19" ht="72" customHeight="1">
      <x:c r="A19" s="391" t="n">
        <x:v>14</x:v>
      </x:c>
      <x:c r="B19" s="149" t="str">
        <x:v>作業内容画像2</x:v>
      </x:c>
      <x:c r="C19" s="149" t="str">
        <x:v>準備</x:v>
      </x:c>
      <x:c r="D19" s="48" t="str">
        <x:v>キックオフ</x:v>
      </x:c>
      <x:c r="E19" s="48" t="str"/>
      <x:c r="F19" s="48" t="str"/>
      <x:c r="G19" s="48" t="str"/>
      <x:c r="H19" s="48" t="str">
        <x:v>00012</x:v>
      </x:c>
      <x:c r="I19" s="149" t="n">
        <x:f>COUNTA('作業計画'!A18)</x:f>
        <x:v>1</x:v>
      </x:c>
      <x:c r="J19" s="149" t="str">
        <x:f>IF(I19&gt;0,"反映済","未反映")</x:f>
        <x:v>反映済</x:v>
      </x:c>
      <x:c r="K19" s="62" t="str">
        <x:v>ユーザー提供：作業内容画像2・No.14</x:v>
      </x:c>
    </x:row>
    <x:row r="20" ht="72" customHeight="1">
      <x:c r="A20" s="392" t="n">
        <x:v>15</x:v>
      </x:c>
      <x:c r="B20" s="150" t="str">
        <x:v>作業内容画像2</x:v>
      </x:c>
      <x:c r="C20" s="150" t="str">
        <x:v>設計</x:v>
      </x:c>
      <x:c r="D20" s="56" t="str">
        <x:v>ガバナンス</x:v>
      </x:c>
      <x:c r="E20" s="56" t="str">
        <x:v>権限管理</x:v>
      </x:c>
      <x:c r="F20" s="56" t="str">
        <x:v>新規ワークスペース／Lakehouseの権限（既存に倣う）。既存資材の権限は変更なしで問題ないか確認。</x:v>
      </x:c>
      <x:c r="G20" s="56" t="str"/>
      <x:c r="H20" s="56" t="str">
        <x:v>00015</x:v>
      </x:c>
      <x:c r="I20" s="150" t="n">
        <x:f>COUNTA('作業計画'!A21)</x:f>
        <x:v>1</x:v>
      </x:c>
      <x:c r="J20" s="150" t="str">
        <x:f>IF(I20&gt;0,"反映済","未反映")</x:f>
        <x:v>反映済</x:v>
      </x:c>
      <x:c r="K20" s="64" t="str">
        <x:v>ユーザー提供：作業内容画像2・No.15</x:v>
      </x:c>
    </x:row>
    <x:row r="21" ht="72" customHeight="1">
      <x:c r="A21" s="391" t="n">
        <x:v>16</x:v>
      </x:c>
      <x:c r="B21" s="149" t="str">
        <x:v>作業内容画像2</x:v>
      </x:c>
      <x:c r="C21" s="149" t="str">
        <x:v>設計</x:v>
      </x:c>
      <x:c r="D21" s="48" t="str">
        <x:v>ガバナンス</x:v>
      </x:c>
      <x:c r="E21" s="48" t="str">
        <x:v>データ管理</x:v>
      </x:c>
      <x:c r="F21" s="48" t="str">
        <x:v>データの管理者、特にSharePoint上のデータ。保存期間は運用チームのルールに従ってOK。</x:v>
      </x:c>
      <x:c r="G21" s="48" t="str"/>
      <x:c r="H21" s="48" t="str">
        <x:v>00016</x:v>
      </x:c>
      <x:c r="I21" s="149" t="n">
        <x:f>COUNTA('作業計画'!A22)</x:f>
        <x:v>1</x:v>
      </x:c>
      <x:c r="J21" s="149" t="str">
        <x:f>IF(I21&gt;0,"反映済","未反映")</x:f>
        <x:v>反映済</x:v>
      </x:c>
      <x:c r="K21" s="62" t="str">
        <x:v>ユーザー提供：作業内容画像2・No.16</x:v>
      </x:c>
    </x:row>
    <x:row r="22" ht="72" customHeight="1">
      <x:c r="A22" s="392" t="n">
        <x:v>17</x:v>
      </x:c>
      <x:c r="B22" s="150" t="str">
        <x:v>作業内容画像2</x:v>
      </x:c>
      <x:c r="C22" s="150" t="str">
        <x:v>設計</x:v>
      </x:c>
      <x:c r="D22" s="56" t="str">
        <x:v>ガバナンス</x:v>
      </x:c>
      <x:c r="E22" s="56" t="str">
        <x:v>品質管理</x:v>
      </x:c>
      <x:c r="F22" s="56" t="str">
        <x:v>品質をどの程度担保すべきか、各データソースのオーナーは誰か。</x:v>
      </x:c>
      <x:c r="G22" s="56" t="str">
        <x:v>Omni2Fabricと同様を想定。</x:v>
      </x:c>
      <x:c r="H22" s="56" t="str">
        <x:v>00017</x:v>
      </x:c>
      <x:c r="I22" s="150" t="n">
        <x:f>COUNTA('作業計画'!A23)</x:f>
        <x:v>1</x:v>
      </x:c>
      <x:c r="J22" s="150" t="str">
        <x:f>IF(I22&gt;0,"反映済","未反映")</x:f>
        <x:v>反映済</x:v>
      </x:c>
      <x:c r="K22" s="64" t="str">
        <x:v>ユーザー提供：作業内容画像2・No.17</x:v>
      </x:c>
    </x:row>
    <x:row r="23" ht="72" customHeight="1">
      <x:c r="A23" s="391" t="n">
        <x:v>18</x:v>
      </x:c>
      <x:c r="B23" s="149" t="str">
        <x:v>作業内容画像3</x:v>
      </x:c>
      <x:c r="C23" s="149" t="str">
        <x:v>設計</x:v>
      </x:c>
      <x:c r="D23" s="48" t="str">
        <x:v>セキュリティ</x:v>
      </x:c>
      <x:c r="E23" s="48" t="str">
        <x:v>テーブル全体、行・列</x:v>
      </x:c>
      <x:c r="F23" s="48" t="str">
        <x:v>誰がどのデータを閲覧可能か確認（既存に倣う？）。</x:v>
      </x:c>
      <x:c r="G23" s="48" t="str"/>
      <x:c r="H23" s="48" t="str">
        <x:v>00018</x:v>
      </x:c>
      <x:c r="I23" s="149" t="n">
        <x:f>COUNTA('作業計画'!A24)</x:f>
        <x:v>1</x:v>
      </x:c>
      <x:c r="J23" s="149" t="str">
        <x:f>IF(I23&gt;0,"反映済","未反映")</x:f>
        <x:v>反映済</x:v>
      </x:c>
      <x:c r="K23" s="62" t="str">
        <x:v>ユーザー提供：作業内容画像3・No.18</x:v>
      </x:c>
    </x:row>
    <x:row r="24" ht="72" customHeight="1">
      <x:c r="A24" s="392" t="n">
        <x:v>19</x:v>
      </x:c>
      <x:c r="B24" s="150" t="str">
        <x:v>作業内容画像3</x:v>
      </x:c>
      <x:c r="C24" s="150" t="str">
        <x:v>要件</x:v>
      </x:c>
      <x:c r="D24" s="56" t="str">
        <x:v>仕様確認</x:v>
      </x:c>
      <x:c r="E24" s="56" t="str">
        <x:v>Product</x:v>
      </x:c>
      <x:c r="F24" s="56" t="str">
        <x:v>出力項目・設定値、更新頻度・時刻・SLA、例外処理・通知先などを決定。</x:v>
      </x:c>
      <x:c r="G24" s="56" t="str"/>
      <x:c r="H24" s="56" t="str">
        <x:v>00019</x:v>
      </x:c>
      <x:c r="I24" s="150" t="n">
        <x:f>COUNTA('作業計画'!A25)</x:f>
        <x:v>1</x:v>
      </x:c>
      <x:c r="J24" s="150" t="str">
        <x:f>IF(I24&gt;0,"反映済","未反映")</x:f>
        <x:v>反映済</x:v>
      </x:c>
      <x:c r="K24" s="64" t="str">
        <x:v>ユーザー提供：作業内容画像3・No.19</x:v>
      </x:c>
    </x:row>
    <x:row r="25" ht="72" customHeight="1">
      <x:c r="A25" s="391" t="n">
        <x:v>20</x:v>
      </x:c>
      <x:c r="B25" s="149" t="str">
        <x:v>作業内容画像3</x:v>
      </x:c>
      <x:c r="C25" s="149" t="str">
        <x:v>要件</x:v>
      </x:c>
      <x:c r="D25" s="48" t="str">
        <x:v>仕様確認</x:v>
      </x:c>
      <x:c r="E25" s="48" t="str">
        <x:v>Contact</x:v>
      </x:c>
      <x:c r="F25" s="48" t="str">
        <x:v>出力項目・設定値、更新頻度・時刻・SLA、例外処理・通知先などを決定。</x:v>
      </x:c>
      <x:c r="G25" s="48" t="str"/>
      <x:c r="H25" s="48" t="str">
        <x:v>00020</x:v>
      </x:c>
      <x:c r="I25" s="149" t="n">
        <x:f>COUNTA('作業計画'!A26)</x:f>
        <x:v>1</x:v>
      </x:c>
      <x:c r="J25" s="149" t="str">
        <x:f>IF(I25&gt;0,"反映済","未反映")</x:f>
        <x:v>反映済</x:v>
      </x:c>
      <x:c r="K25" s="62" t="str">
        <x:v>ユーザー提供：作業内容画像3・No.20</x:v>
      </x:c>
    </x:row>
    <x:row r="26" ht="72" customHeight="1">
      <x:c r="A26" s="392" t="n">
        <x:v>21</x:v>
      </x:c>
      <x:c r="B26" s="150" t="str">
        <x:v>作業内容画像3</x:v>
      </x:c>
      <x:c r="C26" s="150" t="str">
        <x:v>要件</x:v>
      </x:c>
      <x:c r="D26" s="56" t="str">
        <x:v>仕様確認</x:v>
      </x:c>
      <x:c r="E26" s="56" t="str">
        <x:v>Account</x:v>
      </x:c>
      <x:c r="F26" s="56" t="str">
        <x:v>出力項目・設定値、更新頻度・時刻・SLA、例外処理・通知先などを決定。</x:v>
      </x:c>
      <x:c r="G26" s="56" t="str"/>
      <x:c r="H26" s="56" t="str">
        <x:v>00021</x:v>
      </x:c>
      <x:c r="I26" s="150" t="n">
        <x:f>COUNTA('作業計画'!A27)</x:f>
        <x:v>1</x:v>
      </x:c>
      <x:c r="J26" s="150" t="str">
        <x:f>IF(I26&gt;0,"反映済","未反映")</x:f>
        <x:v>反映済</x:v>
      </x:c>
      <x:c r="K26" s="64" t="str">
        <x:v>ユーザー提供：作業内容画像3・No.21</x:v>
      </x:c>
    </x:row>
    <x:row r="27" ht="72" customHeight="1">
      <x:c r="A27" s="391" t="n">
        <x:v>22</x:v>
      </x:c>
      <x:c r="B27" s="149" t="str">
        <x:v>作業内容画像3</x:v>
      </x:c>
      <x:c r="C27" s="149" t="str">
        <x:v>要件</x:v>
      </x:c>
      <x:c r="D27" s="48" t="str">
        <x:v>仕様確認</x:v>
      </x:c>
      <x:c r="E27" s="48" t="str">
        <x:v>AccountContact</x:v>
      </x:c>
      <x:c r="F27" s="48" t="str">
        <x:v>出力項目・設定値、更新頻度・時刻・SLA、例外処理・通知先などを決定。</x:v>
      </x:c>
      <x:c r="G27" s="48" t="str"/>
      <x:c r="H27" s="48" t="str">
        <x:v>00022</x:v>
      </x:c>
      <x:c r="I27" s="149" t="n">
        <x:f>COUNTA('作業計画'!A28)</x:f>
        <x:v>1</x:v>
      </x:c>
      <x:c r="J27" s="149" t="str">
        <x:f>IF(I27&gt;0,"反映済","未反映")</x:f>
        <x:v>反映済</x:v>
      </x:c>
      <x:c r="K27" s="62" t="str">
        <x:v>ユーザー提供：作業内容画像3・No.22</x:v>
      </x:c>
    </x:row>
    <x:row r="28" ht="72" customHeight="1">
      <x:c r="A28" s="392" t="n">
        <x:v>23</x:v>
      </x:c>
      <x:c r="B28" s="150" t="str">
        <x:v>作業内容画像3</x:v>
      </x:c>
      <x:c r="C28" s="150" t="str">
        <x:v>要件</x:v>
      </x:c>
      <x:c r="D28" s="56" t="str">
        <x:v>仕様確認</x:v>
      </x:c>
      <x:c r="E28" s="56" t="str">
        <x:v>SalesRepHospital</x:v>
      </x:c>
      <x:c r="F28" s="56" t="str">
        <x:v>出力項目・設定値、更新頻度・時刻・SLA、例外処理・通知先などを決定。</x:v>
      </x:c>
      <x:c r="G28" s="56" t="str"/>
      <x:c r="H28" s="56" t="str">
        <x:v>00023</x:v>
      </x:c>
      <x:c r="I28" s="150" t="n">
        <x:f>COUNTA('作業計画'!A29)</x:f>
        <x:v>1</x:v>
      </x:c>
      <x:c r="J28" s="150" t="str">
        <x:f>IF(I28&gt;0,"反映済","未反映")</x:f>
        <x:v>反映済</x:v>
      </x:c>
      <x:c r="K28" s="64" t="str">
        <x:v>ユーザー提供：作業内容画像3・No.23</x:v>
      </x:c>
    </x:row>
    <x:row r="29" ht="72" customHeight="1">
      <x:c r="A29" s="391" t="n">
        <x:v>24</x:v>
      </x:c>
      <x:c r="B29" s="149" t="str">
        <x:v>作業内容画像3</x:v>
      </x:c>
      <x:c r="C29" s="149" t="str">
        <x:v>試行</x:v>
      </x:c>
      <x:c r="D29" s="48" t="str">
        <x:v>Fabric→Dataverse連携</x:v>
      </x:c>
      <x:c r="E29" s="48" t="str">
        <x:v>Fabric→Dataverse連携確認</x:v>
      </x:c>
      <x:c r="F29" s="48" t="str">
        <x:v>Fabricテスト環境→Dataverseテスト環境に連携するテストを行いたい。</x:v>
      </x:c>
      <x:c r="G29" s="44" t="str">
        <x:v>事前に確認したい。</x:v>
      </x:c>
      <x:c r="H29" s="48" t="str">
        <x:v>00028</x:v>
      </x:c>
      <x:c r="I29" s="149" t="n">
        <x:f>COUNTA('作業計画'!A34)</x:f>
        <x:v>1</x:v>
      </x:c>
      <x:c r="J29" s="149" t="str">
        <x:f>IF(I29&gt;0,"反映済","未反映")</x:f>
        <x:v>反映済</x:v>
      </x:c>
      <x:c r="K29" s="62" t="str">
        <x:v>ユーザー提供：作業内容画像3・No.24</x:v>
      </x:c>
    </x:row>
    <x:row r="30" ht="72" customHeight="1">
      <x:c r="A30" s="392" t="n">
        <x:v>25</x:v>
      </x:c>
      <x:c r="B30" s="150" t="str">
        <x:v>作業内容画像3</x:v>
      </x:c>
      <x:c r="C30" s="150" t="str">
        <x:v>設計</x:v>
      </x:c>
      <x:c r="D30" s="56" t="str">
        <x:v>基本設計・詳細設計</x:v>
      </x:c>
      <x:c r="E30" s="56" t="str">
        <x:v>Product</x:v>
      </x:c>
      <x:c r="F30" s="56" t="str"/>
      <x:c r="G30" s="56" t="str"/>
      <x:c r="H30" s="56" t="str">
        <x:v>00032</x:v>
      </x:c>
      <x:c r="I30" s="150" t="n">
        <x:f>COUNTA('作業計画'!A38)</x:f>
        <x:v>1</x:v>
      </x:c>
      <x:c r="J30" s="150" t="str">
        <x:f>IF(I30&gt;0,"反映済","未反映")</x:f>
        <x:v>反映済</x:v>
      </x:c>
      <x:c r="K30" s="64" t="str">
        <x:v>ユーザー提供：作業内容画像3・No.25</x:v>
      </x:c>
    </x:row>
    <x:row r="31" ht="72" customHeight="1">
      <x:c r="A31" s="391" t="n">
        <x:v>26</x:v>
      </x:c>
      <x:c r="B31" s="149" t="str">
        <x:v>作業内容画像3</x:v>
      </x:c>
      <x:c r="C31" s="149" t="str">
        <x:v>設計</x:v>
      </x:c>
      <x:c r="D31" s="48" t="str">
        <x:v>基本設計・詳細設計</x:v>
      </x:c>
      <x:c r="E31" s="48" t="str">
        <x:v>Contact</x:v>
      </x:c>
      <x:c r="F31" s="48" t="str"/>
      <x:c r="G31" s="48" t="str"/>
      <x:c r="H31" s="48" t="str">
        <x:v>00033</x:v>
      </x:c>
      <x:c r="I31" s="149" t="n">
        <x:f>COUNTA('作業計画'!A39)</x:f>
        <x:v>1</x:v>
      </x:c>
      <x:c r="J31" s="149" t="str">
        <x:f>IF(I31&gt;0,"反映済","未反映")</x:f>
        <x:v>反映済</x:v>
      </x:c>
      <x:c r="K31" s="62" t="str">
        <x:v>ユーザー提供：作業内容画像3・No.26</x:v>
      </x:c>
    </x:row>
    <x:row r="32" ht="72" customHeight="1">
      <x:c r="A32" s="392" t="n">
        <x:v>27</x:v>
      </x:c>
      <x:c r="B32" s="150" t="str">
        <x:v>作業内容画像3</x:v>
      </x:c>
      <x:c r="C32" s="150" t="str">
        <x:v>設計</x:v>
      </x:c>
      <x:c r="D32" s="56" t="str">
        <x:v>基本設計・詳細設計</x:v>
      </x:c>
      <x:c r="E32" s="56" t="str">
        <x:v>Account</x:v>
      </x:c>
      <x:c r="F32" s="56" t="str"/>
      <x:c r="G32" s="56" t="str"/>
      <x:c r="H32" s="56" t="str">
        <x:v>00034</x:v>
      </x:c>
      <x:c r="I32" s="150" t="n">
        <x:f>COUNTA('作業計画'!A40)</x:f>
        <x:v>1</x:v>
      </x:c>
      <x:c r="J32" s="150" t="str">
        <x:f>IF(I32&gt;0,"反映済","未反映")</x:f>
        <x:v>反映済</x:v>
      </x:c>
      <x:c r="K32" s="64" t="str">
        <x:v>ユーザー提供：作業内容画像3・No.27</x:v>
      </x:c>
    </x:row>
    <x:row r="33" ht="72" customHeight="1">
      <x:c r="A33" s="391" t="n">
        <x:v>28</x:v>
      </x:c>
      <x:c r="B33" s="149" t="str">
        <x:v>作業内容画像3</x:v>
      </x:c>
      <x:c r="C33" s="149" t="str">
        <x:v>設計</x:v>
      </x:c>
      <x:c r="D33" s="48" t="str">
        <x:v>基本設計・詳細設計</x:v>
      </x:c>
      <x:c r="E33" s="48" t="str">
        <x:v>AccountContact</x:v>
      </x:c>
      <x:c r="F33" s="48" t="str"/>
      <x:c r="G33" s="48" t="str"/>
      <x:c r="H33" s="48" t="str">
        <x:v>00035</x:v>
      </x:c>
      <x:c r="I33" s="149" t="n">
        <x:f>COUNTA('作業計画'!A41)</x:f>
        <x:v>1</x:v>
      </x:c>
      <x:c r="J33" s="149" t="str">
        <x:f>IF(I33&gt;0,"反映済","未反映")</x:f>
        <x:v>反映済</x:v>
      </x:c>
      <x:c r="K33" s="62" t="str">
        <x:v>ユーザー提供：作業内容画像3・No.28</x:v>
      </x:c>
    </x:row>
    <x:row r="34" ht="72" customHeight="1">
      <x:c r="A34" s="392" t="n">
        <x:v>29</x:v>
      </x:c>
      <x:c r="B34" s="150" t="str">
        <x:v>作業内容画像3</x:v>
      </x:c>
      <x:c r="C34" s="150" t="str">
        <x:v>設計</x:v>
      </x:c>
      <x:c r="D34" s="56" t="str">
        <x:v>基本設計・詳細設計</x:v>
      </x:c>
      <x:c r="E34" s="56" t="str">
        <x:v>SalesRepHospital</x:v>
      </x:c>
      <x:c r="F34" s="56" t="str"/>
      <x:c r="G34" s="56" t="str"/>
      <x:c r="H34" s="56" t="str">
        <x:v>00036</x:v>
      </x:c>
      <x:c r="I34" s="150" t="n">
        <x:f>COUNTA('作業計画'!A42)</x:f>
        <x:v>1</x:v>
      </x:c>
      <x:c r="J34" s="150" t="str">
        <x:f>IF(I34&gt;0,"反映済","未反映")</x:f>
        <x:v>反映済</x:v>
      </x:c>
      <x:c r="K34" s="64" t="str">
        <x:v>ユーザー提供：作業内容画像3・No.29</x:v>
      </x:c>
    </x:row>
    <x:row r="35" ht="72" customHeight="1">
      <x:c r="A35" s="391" t="n">
        <x:v>30</x:v>
      </x:c>
      <x:c r="B35" s="149" t="str">
        <x:v>作業内容画像3</x:v>
      </x:c>
      <x:c r="C35" s="149" t="str">
        <x:v>開発</x:v>
      </x:c>
      <x:c r="D35" s="48" t="str">
        <x:v>ワークスペース作成</x:v>
      </x:c>
      <x:c r="E35" s="48" t="str">
        <x:v>ワークスペース作成</x:v>
      </x:c>
      <x:c r="F35" s="48" t="str">
        <x:v>新規ワークスペース作成（DEV／QA／PROD）、権限付与。</x:v>
      </x:c>
      <x:c r="G35" s="48" t="str"/>
      <x:c r="H35" s="48" t="str">
        <x:v>00024 / 00037 / 00038</x:v>
      </x:c>
      <x:c r="I35" s="149" t="n">
        <x:f>COUNTA('作業計画'!A30,'作業計画'!A43,'作業計画'!A44)</x:f>
        <x:v>3</x:v>
      </x:c>
      <x:c r="J35" s="149" t="str">
        <x:f>IF(I35&gt;0,"反映済","未反映")</x:f>
        <x:v>反映済</x:v>
      </x:c>
      <x:c r="K35" s="62" t="str">
        <x:v>ユーザー提供：作業内容画像3・No.30</x:v>
      </x:c>
    </x:row>
    <x:row r="36" ht="72" customHeight="1">
      <x:c r="A36" s="392" t="n">
        <x:v>31</x:v>
      </x:c>
      <x:c r="B36" s="150" t="str">
        <x:v>作業内容画像3</x:v>
      </x:c>
      <x:c r="C36" s="150" t="str">
        <x:v>開発</x:v>
      </x:c>
      <x:c r="D36" s="56" t="str">
        <x:v>データソース確認</x:v>
      </x:c>
      <x:c r="E36" s="56" t="str">
        <x:v>OneForce</x:v>
      </x:c>
      <x:c r="F36" s="56" t="str">
        <x:v>既存SilverLakehouseに存在するか、列は足りているか確認。</x:v>
      </x:c>
      <x:c r="G36" s="56" t="str"/>
      <x:c r="H36" s="56" t="str">
        <x:v>00025</x:v>
      </x:c>
      <x:c r="I36" s="150" t="n">
        <x:f>COUNTA('作業計画'!A31)</x:f>
        <x:v>1</x:v>
      </x:c>
      <x:c r="J36" s="150" t="str">
        <x:f>IF(I36&gt;0,"反映済","未反映")</x:f>
        <x:v>反映済</x:v>
      </x:c>
      <x:c r="K36" s="64" t="str">
        <x:v>ユーザー提供：作業内容画像3・No.31</x:v>
      </x:c>
    </x:row>
    <x:row r="37" ht="72" customHeight="1">
      <x:c r="A37" s="391" t="n">
        <x:v>32</x:v>
      </x:c>
      <x:c r="B37" s="149" t="str">
        <x:v>作業内容画像3</x:v>
      </x:c>
      <x:c r="C37" s="149" t="str">
        <x:v>開発</x:v>
      </x:c>
      <x:c r="D37" s="48" t="str">
        <x:v>データソース確認</x:v>
      </x:c>
      <x:c r="E37" s="48" t="str">
        <x:v>Redshift</x:v>
      </x:c>
      <x:c r="F37" s="48" t="str">
        <x:v>Fabricから参照できるか確認。</x:v>
      </x:c>
      <x:c r="G37" s="48" t="str"/>
      <x:c r="H37" s="48" t="str">
        <x:v>00026</x:v>
      </x:c>
      <x:c r="I37" s="149" t="n">
        <x:f>COUNTA('作業計画'!A32)</x:f>
        <x:v>1</x:v>
      </x:c>
      <x:c r="J37" s="149" t="str">
        <x:f>IF(I37&gt;0,"反映済","未反映")</x:f>
        <x:v>反映済</x:v>
      </x:c>
      <x:c r="K37" s="62" t="str">
        <x:v>ユーザー提供：作業内容画像3・No.32</x:v>
      </x:c>
    </x:row>
    <x:row r="38" ht="72" customHeight="1">
      <x:c r="A38" s="392" t="n">
        <x:v>33</x:v>
      </x:c>
      <x:c r="B38" s="150" t="str">
        <x:v>作業内容画像3</x:v>
      </x:c>
      <x:c r="C38" s="150" t="str">
        <x:v>開発</x:v>
      </x:c>
      <x:c r="D38" s="56" t="str">
        <x:v>データソース確認</x:v>
      </x:c>
      <x:c r="E38" s="56" t="str">
        <x:v>SharePoint</x:v>
      </x:c>
      <x:c r="F38" s="56" t="str">
        <x:v>必要に応じてExcelファイルを作成・移動。</x:v>
      </x:c>
      <x:c r="G38" s="56" t="str"/>
      <x:c r="H38" s="56" t="str">
        <x:v>00027</x:v>
      </x:c>
      <x:c r="I38" s="150" t="n">
        <x:f>COUNTA('作業計画'!A33)</x:f>
        <x:v>1</x:v>
      </x:c>
      <x:c r="J38" s="150" t="str">
        <x:f>IF(I38&gt;0,"反映済","未反映")</x:f>
        <x:v>反映済</x:v>
      </x:c>
      <x:c r="K38" s="64" t="str">
        <x:v>ユーザー提供：作業内容画像3・No.33</x:v>
      </x:c>
    </x:row>
    <x:row r="39" ht="72" customHeight="1">
      <x:c r="A39" s="391" t="n">
        <x:v>34</x:v>
      </x:c>
      <x:c r="B39" s="149" t="str">
        <x:v>作業内容画像4</x:v>
      </x:c>
      <x:c r="C39" s="149" t="str">
        <x:v>開発</x:v>
      </x:c>
      <x:c r="D39" s="48" t="str">
        <x:v>Bronze＆SilverLayer編集</x:v>
      </x:c>
      <x:c r="E39" s="48" t="str">
        <x:v>BronzePipeline</x:v>
      </x:c>
      <x:c r="F39" s="48" t="str">
        <x:v>処理変更（GroupA／Bの変更など）。</x:v>
      </x:c>
      <x:c r="G39" s="48" t="str">
        <x:v>既存ワークスペース：Japan Data Platform。</x:v>
      </x:c>
      <x:c r="H39" s="48" t="str">
        <x:v>00042</x:v>
      </x:c>
      <x:c r="I39" s="149" t="n">
        <x:f>COUNTA('作業計画'!A48)</x:f>
        <x:v>1</x:v>
      </x:c>
      <x:c r="J39" s="149" t="str">
        <x:f>IF(I39&gt;0,"反映済","未反映")</x:f>
        <x:v>反映済</x:v>
      </x:c>
      <x:c r="K39" s="62" t="str">
        <x:v>ユーザー提供：作業内容画像4・No.34</x:v>
      </x:c>
    </x:row>
    <x:row r="40" ht="72" customHeight="1">
      <x:c r="A40" s="392" t="n">
        <x:v>35</x:v>
      </x:c>
      <x:c r="B40" s="150" t="str">
        <x:v>作業内容画像4</x:v>
      </x:c>
      <x:c r="C40" s="150" t="str">
        <x:v>開発</x:v>
      </x:c>
      <x:c r="D40" s="56" t="str">
        <x:v>Bronze＆SilverLayer編集</x:v>
      </x:c>
      <x:c r="E40" s="56" t="str">
        <x:v>BronzeDataflow</x:v>
      </x:c>
      <x:c r="F40" s="56" t="str">
        <x:v>Dataflow・テーブル追加、差分更新か全件更新かの判定。</x:v>
      </x:c>
      <x:c r="G40" s="56" t="str">
        <x:v>既存ワークスペース：Japan Data Platform。</x:v>
      </x:c>
      <x:c r="H40" s="56" t="str">
        <x:v>00040</x:v>
      </x:c>
      <x:c r="I40" s="150" t="n">
        <x:f>COUNTA('作業計画'!A46)</x:f>
        <x:v>1</x:v>
      </x:c>
      <x:c r="J40" s="150" t="str">
        <x:f>IF(I40&gt;0,"反映済","未反映")</x:f>
        <x:v>反映済</x:v>
      </x:c>
      <x:c r="K40" s="64" t="str">
        <x:v>ユーザー提供：作業内容画像4・No.35</x:v>
      </x:c>
    </x:row>
    <x:row r="41" ht="72" customHeight="1">
      <x:c r="A41" s="391" t="n">
        <x:v>36</x:v>
      </x:c>
      <x:c r="B41" s="149" t="str">
        <x:v>作業内容画像4</x:v>
      </x:c>
      <x:c r="C41" s="149" t="str">
        <x:v>開発</x:v>
      </x:c>
      <x:c r="D41" s="48" t="str">
        <x:v>Bronze＆SilverLayer編集</x:v>
      </x:c>
      <x:c r="E41" s="48" t="str">
        <x:v>BronzeLakehouse</x:v>
      </x:c>
      <x:c r="F41" s="48" t="str">
        <x:v>テーブル追加。</x:v>
      </x:c>
      <x:c r="G41" s="48" t="str">
        <x:v>As-Is同様と仮定した場合、39テーブル追加予定（未確定）。</x:v>
      </x:c>
      <x:c r="H41" s="48" t="str">
        <x:v>00039</x:v>
      </x:c>
      <x:c r="I41" s="149" t="n">
        <x:f>COUNTA('作業計画'!A45)</x:f>
        <x:v>1</x:v>
      </x:c>
      <x:c r="J41" s="149" t="str">
        <x:f>IF(I41&gt;0,"反映済","未反映")</x:f>
        <x:v>反映済</x:v>
      </x:c>
      <x:c r="K41" s="62" t="str">
        <x:v>ユーザー提供：作業内容画像4・No.36</x:v>
      </x:c>
    </x:row>
    <x:row r="42" ht="72" customHeight="1">
      <x:c r="A42" s="392" t="n">
        <x:v>37</x:v>
      </x:c>
      <x:c r="B42" s="150" t="str">
        <x:v>作業内容画像4</x:v>
      </x:c>
      <x:c r="C42" s="150" t="str">
        <x:v>開発</x:v>
      </x:c>
      <x:c r="D42" s="56" t="str">
        <x:v>Bronze＆SilverLayer編集</x:v>
      </x:c>
      <x:c r="E42" s="56" t="str">
        <x:v>BronzeNotebook</x:v>
      </x:c>
      <x:c r="F42" s="56" t="str">
        <x:v>処理追加。</x:v>
      </x:c>
      <x:c r="G42" s="56" t="str"/>
      <x:c r="H42" s="56" t="str">
        <x:v>00041</x:v>
      </x:c>
      <x:c r="I42" s="150" t="n">
        <x:f>COUNTA('作業計画'!A47)</x:f>
        <x:v>1</x:v>
      </x:c>
      <x:c r="J42" s="150" t="str">
        <x:f>IF(I42&gt;0,"反映済","未反映")</x:f>
        <x:v>反映済</x:v>
      </x:c>
      <x:c r="K42" s="64" t="str">
        <x:v>ユーザー提供：作業内容画像4・No.37</x:v>
      </x:c>
    </x:row>
    <x:row r="43" ht="72" customHeight="1">
      <x:c r="A43" s="391" t="n">
        <x:v>38</x:v>
      </x:c>
      <x:c r="B43" s="149" t="str">
        <x:v>作業内容画像4</x:v>
      </x:c>
      <x:c r="C43" s="149" t="str">
        <x:v>開発</x:v>
      </x:c>
      <x:c r="D43" s="48" t="str">
        <x:v>Bronze＆SilverLayer編集</x:v>
      </x:c>
      <x:c r="E43" s="48" t="str">
        <x:v>SilverPipeline</x:v>
      </x:c>
      <x:c r="F43" s="48" t="str">
        <x:v>処理変更。</x:v>
      </x:c>
      <x:c r="G43" s="48" t="str"/>
      <x:c r="H43" s="48" t="str">
        <x:v>00045</x:v>
      </x:c>
      <x:c r="I43" s="149" t="n">
        <x:f>COUNTA('作業計画'!A51)</x:f>
        <x:v>1</x:v>
      </x:c>
      <x:c r="J43" s="149" t="str">
        <x:f>IF(I43&gt;0,"反映済","未反映")</x:f>
        <x:v>反映済</x:v>
      </x:c>
      <x:c r="K43" s="62" t="str">
        <x:v>ユーザー提供：作業内容画像4・No.38</x:v>
      </x:c>
    </x:row>
    <x:row r="44" ht="72" customHeight="1">
      <x:c r="A44" s="392" t="n">
        <x:v>39</x:v>
      </x:c>
      <x:c r="B44" s="150" t="str">
        <x:v>作業内容画像4</x:v>
      </x:c>
      <x:c r="C44" s="150" t="str">
        <x:v>開発</x:v>
      </x:c>
      <x:c r="D44" s="56" t="str">
        <x:v>Bronze＆SilverLayer編集</x:v>
      </x:c>
      <x:c r="E44" s="56" t="str">
        <x:v>SilverLakehouse</x:v>
      </x:c>
      <x:c r="F44" s="56" t="str">
        <x:v>テーブル追加・列追加。</x:v>
      </x:c>
      <x:c r="G44" s="56" t="str">
        <x:v>As-Is同様と仮定した場合、39テーブル追加予定（未確定）。</x:v>
      </x:c>
      <x:c r="H44" s="56" t="str">
        <x:v>00043</x:v>
      </x:c>
      <x:c r="I44" s="150" t="n">
        <x:f>COUNTA('作業計画'!A49)</x:f>
        <x:v>1</x:v>
      </x:c>
      <x:c r="J44" s="150" t="str">
        <x:f>IF(I44&gt;0,"反映済","未反映")</x:f>
        <x:v>反映済</x:v>
      </x:c>
      <x:c r="K44" s="64" t="str">
        <x:v>ユーザー提供：作業内容画像4・No.39</x:v>
      </x:c>
    </x:row>
    <x:row r="45" ht="72" customHeight="1">
      <x:c r="A45" s="391" t="n">
        <x:v>40</x:v>
      </x:c>
      <x:c r="B45" s="149" t="str">
        <x:v>作業内容画像4</x:v>
      </x:c>
      <x:c r="C45" s="149" t="str">
        <x:v>開発</x:v>
      </x:c>
      <x:c r="D45" s="48" t="str">
        <x:v>Bronze＆SilverLayer編集</x:v>
      </x:c>
      <x:c r="E45" s="48" t="str">
        <x:v>SilverNotebook</x:v>
      </x:c>
      <x:c r="F45" s="48" t="str">
        <x:v>処理追加。</x:v>
      </x:c>
      <x:c r="G45" s="48" t="str"/>
      <x:c r="H45" s="48" t="str">
        <x:v>00044</x:v>
      </x:c>
      <x:c r="I45" s="149" t="n">
        <x:f>COUNTA('作業計画'!A50)</x:f>
        <x:v>1</x:v>
      </x:c>
      <x:c r="J45" s="149" t="str">
        <x:f>IF(I45&gt;0,"反映済","未反映")</x:f>
        <x:v>反映済</x:v>
      </x:c>
      <x:c r="K45" s="62" t="str">
        <x:v>ユーザー提供：作業内容画像4・No.40</x:v>
      </x:c>
    </x:row>
    <x:row r="46" ht="72" customHeight="1">
      <x:c r="A46" s="392" t="n">
        <x:v>41</x:v>
      </x:c>
      <x:c r="B46" s="150" t="str">
        <x:v>作業内容画像4</x:v>
      </x:c>
      <x:c r="C46" s="150" t="str">
        <x:v>開発</x:v>
      </x:c>
      <x:c r="D46" s="56" t="str">
        <x:v>GoldLayer作成</x:v>
      </x:c>
      <x:c r="E46" s="56" t="str">
        <x:v>GoldPipeline</x:v>
      </x:c>
      <x:c r="F46" s="56" t="str">
        <x:v>OUTPUTテーブルごとに1件作成。</x:v>
      </x:c>
      <x:c r="G46" s="56" t="str">
        <x:v>新規ワークスペース。</x:v>
      </x:c>
      <x:c r="H46" s="56" t="str">
        <x:v>00056 / 00057 / 00058 / 00059 / 00060 / 00068</x:v>
      </x:c>
      <x:c r="I46" s="150" t="n">
        <x:f>COUNTA('作業計画'!A62,'作業計画'!A63,'作業計画'!A64,'作業計画'!A65,'作業計画'!A66,'作業計画'!A74)</x:f>
        <x:v>6</x:v>
      </x:c>
      <x:c r="J46" s="150" t="str">
        <x:f>IF(I46&gt;0,"反映済","未反映")</x:f>
        <x:v>反映済</x:v>
      </x:c>
      <x:c r="K46" s="64" t="str">
        <x:v>ユーザー提供：作業内容画像4・No.41</x:v>
      </x:c>
    </x:row>
    <x:row r="47" ht="72" customHeight="1">
      <x:c r="A47" s="391" t="n">
        <x:v>42</x:v>
      </x:c>
      <x:c r="B47" s="149" t="str">
        <x:v>作業内容画像4</x:v>
      </x:c>
      <x:c r="C47" s="149" t="str">
        <x:v>開発</x:v>
      </x:c>
      <x:c r="D47" s="48" t="str">
        <x:v>GoldLayer作成</x:v>
      </x:c>
      <x:c r="E47" s="48" t="str">
        <x:v>GoldLakehouse</x:v>
      </x:c>
      <x:c r="F47" s="48" t="str">
        <x:v>OneForce、Redshift、SharePointのデータを取得。1～2件。</x:v>
      </x:c>
      <x:c r="G47" s="48" t="str">
        <x:v>件数は未確定。</x:v>
      </x:c>
      <x:c r="H47" s="48" t="str">
        <x:v>00046</x:v>
      </x:c>
      <x:c r="I47" s="149" t="n">
        <x:f>COUNTA('作業計画'!A52)</x:f>
        <x:v>1</x:v>
      </x:c>
      <x:c r="J47" s="149" t="str">
        <x:f>IF(I47&gt;0,"反映済","未反映")</x:f>
        <x:v>反映済</x:v>
      </x:c>
      <x:c r="K47" s="62" t="str">
        <x:v>ユーザー提供：作業内容画像4・No.42</x:v>
      </x:c>
    </x:row>
    <x:row r="48" ht="72" customHeight="1">
      <x:c r="A48" s="392" t="n">
        <x:v>43</x:v>
      </x:c>
      <x:c r="B48" s="150" t="str">
        <x:v>作業内容画像4</x:v>
      </x:c>
      <x:c r="C48" s="150" t="str">
        <x:v>開発</x:v>
      </x:c>
      <x:c r="D48" s="56" t="str">
        <x:v>GoldLayer作成</x:v>
      </x:c>
      <x:c r="E48" s="56" t="str">
        <x:v>GoldWarehouse</x:v>
      </x:c>
      <x:c r="F48" s="56" t="str">
        <x:v>Function作成。</x:v>
      </x:c>
      <x:c r="G48" s="44" t="str">
        <x:v>事前に確認したい→李さん。</x:v>
      </x:c>
      <x:c r="H48" s="56" t="str">
        <x:v>00029 / 00031 / 00047 / 00072</x:v>
      </x:c>
      <x:c r="I48" s="150" t="n">
        <x:f>COUNTA('作業計画'!A35,'作業計画'!A37,'作業計画'!A53,'作業計画'!A78)</x:f>
        <x:v>4</x:v>
      </x:c>
      <x:c r="J48" s="150" t="str">
        <x:f>IF(I48&gt;0,"反映済","未反映")</x:f>
        <x:v>反映済</x:v>
      </x:c>
      <x:c r="K48" s="64" t="str">
        <x:v>ユーザー提供：作業内容画像4・No.43</x:v>
      </x:c>
    </x:row>
    <x:row r="49" ht="72" customHeight="1">
      <x:c r="A49" s="391" t="n">
        <x:v>44</x:v>
      </x:c>
      <x:c r="B49" s="149" t="str">
        <x:v>作業内容画像4</x:v>
      </x:c>
      <x:c r="C49" s="149" t="str">
        <x:v>開発</x:v>
      </x:c>
      <x:c r="D49" s="48" t="str">
        <x:v>GoldLayer作成</x:v>
      </x:c>
      <x:c r="E49" s="48" t="str">
        <x:v>GoldWarehouse</x:v>
      </x:c>
      <x:c r="F49" s="48" t="str">
        <x:v>View作成。</x:v>
      </x:c>
      <x:c r="G49" s="48" t="str"/>
      <x:c r="H49" s="48" t="str">
        <x:v>00031 / 00050</x:v>
      </x:c>
      <x:c r="I49" s="149" t="n">
        <x:f>COUNTA('作業計画'!A37,'作業計画'!A56)</x:f>
        <x:v>2</x:v>
      </x:c>
      <x:c r="J49" s="149" t="str">
        <x:f>IF(I49&gt;0,"反映済","未反映")</x:f>
        <x:v>反映済</x:v>
      </x:c>
      <x:c r="K49" s="62" t="str">
        <x:v>ユーザー提供：作業内容画像4・No.44</x:v>
      </x:c>
    </x:row>
    <x:row r="50" ht="72" customHeight="1">
      <x:c r="A50" s="392" t="n">
        <x:v>45</x:v>
      </x:c>
      <x:c r="B50" s="150" t="str">
        <x:v>作業内容画像4</x:v>
      </x:c>
      <x:c r="C50" s="150" t="str">
        <x:v>開発</x:v>
      </x:c>
      <x:c r="D50" s="56" t="str">
        <x:v>GoldLayer作成</x:v>
      </x:c>
      <x:c r="E50" s="56" t="str">
        <x:v>Notebook</x:v>
      </x:c>
      <x:c r="F50" s="56" t="str">
        <x:v>OUTPUTテーブル数分作成（5件？）。</x:v>
      </x:c>
      <x:c r="G50" s="56" t="str">
        <x:v>5件は仮置き。</x:v>
      </x:c>
      <x:c r="H50" s="56" t="str">
        <x:v>00051 / 00052 / 00053 / 00054 / 00055 / 00068</x:v>
      </x:c>
      <x:c r="I50" s="150" t="n">
        <x:f>COUNTA('作業計画'!A57,'作業計画'!A58,'作業計画'!A59,'作業計画'!A60,'作業計画'!A61,'作業計画'!A74)</x:f>
        <x:v>6</x:v>
      </x:c>
      <x:c r="J50" s="150" t="str">
        <x:f>IF(I50&gt;0,"反映済","未反映")</x:f>
        <x:v>反映済</x:v>
      </x:c>
      <x:c r="K50" s="64" t="str">
        <x:v>ユーザー提供：作業内容画像4・No.45</x:v>
      </x:c>
    </x:row>
    <x:row r="51" ht="72" customHeight="1">
      <x:c r="A51" s="391" t="n">
        <x:v>46</x:v>
      </x:c>
      <x:c r="B51" s="149" t="str">
        <x:v>作業内容画像4</x:v>
      </x:c>
      <x:c r="C51" s="149" t="str">
        <x:v>開発</x:v>
      </x:c>
      <x:c r="D51" s="48" t="str">
        <x:v>GoldLayer作成</x:v>
      </x:c>
      <x:c r="E51" s="48" t="str">
        <x:v>Notebook</x:v>
      </x:c>
      <x:c r="F51" s="48" t="str">
        <x:v>差分更新用1件。</x:v>
      </x:c>
      <x:c r="G51" s="48" t="str"/>
      <x:c r="H51" s="48" t="str">
        <x:v>00031 / 00049 / 00074</x:v>
      </x:c>
      <x:c r="I51" s="149" t="n">
        <x:f>COUNTA('作業計画'!A37,'作業計画'!A55,'作業計画'!A80)</x:f>
        <x:v>3</x:v>
      </x:c>
      <x:c r="J51" s="149" t="str">
        <x:f>IF(I51&gt;0,"反映済","未反映")</x:f>
        <x:v>反映済</x:v>
      </x:c>
      <x:c r="K51" s="62" t="str">
        <x:v>ユーザー提供：作業内容画像4・No.46</x:v>
      </x:c>
    </x:row>
    <x:row r="52" ht="72" customHeight="1">
      <x:c r="A52" s="392" t="n">
        <x:v>47</x:v>
      </x:c>
      <x:c r="B52" s="150" t="str">
        <x:v>作業内容画像4</x:v>
      </x:c>
      <x:c r="C52" s="150" t="str">
        <x:v>開発</x:v>
      </x:c>
      <x:c r="D52" s="56" t="str">
        <x:v>GoldLayer作成</x:v>
      </x:c>
      <x:c r="E52" s="56" t="str">
        <x:v>Notebook</x:v>
      </x:c>
      <x:c r="F52" s="56" t="str">
        <x:v>共通処理1件。</x:v>
      </x:c>
      <x:c r="G52" s="44" t="str">
        <x:v>事前に確認したい→李さん。</x:v>
      </x:c>
      <x:c r="H52" s="56" t="str">
        <x:v>00030 / 00031 / 00048 / 00073</x:v>
      </x:c>
      <x:c r="I52" s="150" t="n">
        <x:f>COUNTA('作業計画'!A36,'作業計画'!A37,'作業計画'!A54,'作業計画'!A79)</x:f>
        <x:v>4</x:v>
      </x:c>
      <x:c r="J52" s="150" t="str">
        <x:f>IF(I52&gt;0,"反映済","未反映")</x:f>
        <x:v>反映済</x:v>
      </x:c>
      <x:c r="K52" s="64" t="str">
        <x:v>ユーザー提供：作業内容画像4・No.47</x:v>
      </x:c>
    </x:row>
    <x:row r="53" ht="72" customHeight="1">
      <x:c r="A53" s="391" t="n">
        <x:v>48</x:v>
      </x:c>
      <x:c r="B53" s="149" t="str">
        <x:v>作業内容画像4</x:v>
      </x:c>
      <x:c r="C53" s="149" t="str">
        <x:v>開発</x:v>
      </x:c>
      <x:c r="D53" s="48" t="str">
        <x:v>GoldLayer作成</x:v>
      </x:c>
      <x:c r="E53" s="48" t="str">
        <x:v>OutputLakehouse</x:v>
      </x:c>
      <x:c r="F53" s="48" t="str">
        <x:v>OUTPUTテーブルごとにstg・tgtテーブルを作成。Watermarkテーブル作成。</x:v>
      </x:c>
      <x:c r="G53" s="48" t="str"/>
      <x:c r="H53" s="48" t="str">
        <x:v>00031 / 00061 / 00062 / 00063 / 00064 / 00065 / 00066 / 00068 / 00081</x:v>
      </x:c>
      <x:c r="I53" s="149" t="n">
        <x:f>COUNTA('作業計画'!A37,'作業計画'!A67,'作業計画'!A68,'作業計画'!A69,'作業計画'!A70,'作業計画'!A71,'作業計画'!A72,'作業計画'!A74,'作業計画'!A87)</x:f>
        <x:v>9</x:v>
      </x:c>
      <x:c r="J53" s="149" t="str">
        <x:f>IF(I53&gt;0,"反映済","未反映")</x:f>
        <x:v>反映済</x:v>
      </x:c>
      <x:c r="K53" s="62" t="str">
        <x:v>ユーザー提供：作業内容画像4・No.48</x:v>
      </x:c>
    </x:row>
    <x:row r="54" ht="72" customHeight="1">
      <x:c r="A54" s="392" t="n">
        <x:v>49</x:v>
      </x:c>
      <x:c r="B54" s="150" t="str">
        <x:v>作業内容画像4</x:v>
      </x:c>
      <x:c r="C54" s="150" t="str">
        <x:v>開発</x:v>
      </x:c>
      <x:c r="D54" s="56" t="str">
        <x:v>GoldLayer作成</x:v>
      </x:c>
      <x:c r="E54" s="56" t="str">
        <x:v>OutputPipeline</x:v>
      </x:c>
      <x:c r="F54" s="56" t="str">
        <x:v>OutputLakehouse→Dataverseデータコピー用。1件作成。</x:v>
      </x:c>
      <x:c r="G54" s="56" t="str"/>
      <x:c r="H54" s="56" t="str">
        <x:v>00031 / 00067 / 00068</x:v>
      </x:c>
      <x:c r="I54" s="150" t="n">
        <x:f>COUNTA('作業計画'!A37,'作業計画'!A73,'作業計画'!A74)</x:f>
        <x:v>3</x:v>
      </x:c>
      <x:c r="J54" s="150" t="str">
        <x:f>IF(I54&gt;0,"反映済","未反映")</x:f>
        <x:v>反映済</x:v>
      </x:c>
      <x:c r="K54" s="64" t="str">
        <x:v>ユーザー提供：作業内容画像4・No.49</x:v>
      </x:c>
    </x:row>
    <x:row r="55" ht="72" customHeight="1">
      <x:c r="A55" s="391" t="n">
        <x:v>50</x:v>
      </x:c>
      <x:c r="B55" s="149" t="str">
        <x:v>作業内容画像5</x:v>
      </x:c>
      <x:c r="C55" s="149" t="str">
        <x:v>テスト</x:v>
      </x:c>
      <x:c r="D55" s="48" t="str">
        <x:v>単体</x:v>
      </x:c>
      <x:c r="E55" s="48" t="str">
        <x:v>BronzeLakehouse</x:v>
      </x:c>
      <x:c r="F55" s="48" t="str">
        <x:v>追加テーブル。</x:v>
      </x:c>
      <x:c r="G55" s="48" t="str"/>
      <x:c r="H55" s="48" t="str">
        <x:v>00069 / 00070 / 00082</x:v>
      </x:c>
      <x:c r="I55" s="149" t="n">
        <x:f>COUNTA('作業計画'!A75,'作業計画'!A76,'作業計画'!A88)</x:f>
        <x:v>3</x:v>
      </x:c>
      <x:c r="J55" s="149" t="str">
        <x:f>IF(I55&gt;0,"反映済","未反映")</x:f>
        <x:v>反映済</x:v>
      </x:c>
      <x:c r="K55" s="62" t="str">
        <x:v>ユーザー提供：作業内容画像5・No.50</x:v>
      </x:c>
    </x:row>
    <x:row r="56" ht="72" customHeight="1">
      <x:c r="A56" s="392" t="n">
        <x:v>51</x:v>
      </x:c>
      <x:c r="B56" s="150" t="str">
        <x:v>作業内容画像5</x:v>
      </x:c>
      <x:c r="C56" s="150" t="str">
        <x:v>テスト</x:v>
      </x:c>
      <x:c r="D56" s="56" t="str">
        <x:v>単体</x:v>
      </x:c>
      <x:c r="E56" s="56" t="str">
        <x:v>SilverLakehouse</x:v>
      </x:c>
      <x:c r="F56" s="56" t="str">
        <x:v>追加テーブル。</x:v>
      </x:c>
      <x:c r="G56" s="56" t="str"/>
      <x:c r="H56" s="56" t="str">
        <x:v>00069 / 00071 / 00082</x:v>
      </x:c>
      <x:c r="I56" s="150" t="n">
        <x:f>COUNTA('作業計画'!A75,'作業計画'!A77,'作業計画'!A88)</x:f>
        <x:v>3</x:v>
      </x:c>
      <x:c r="J56" s="150" t="str">
        <x:f>IF(I56&gt;0,"反映済","未反映")</x:f>
        <x:v>反映済</x:v>
      </x:c>
      <x:c r="K56" s="64" t="str">
        <x:v>ユーザー提供：作業内容画像5・No.51</x:v>
      </x:c>
    </x:row>
    <x:row r="57" ht="72" customHeight="1">
      <x:c r="A57" s="391" t="n">
        <x:v>52</x:v>
      </x:c>
      <x:c r="B57" s="149" t="str">
        <x:v>作業内容画像5</x:v>
      </x:c>
      <x:c r="C57" s="149" t="str">
        <x:v>テスト</x:v>
      </x:c>
      <x:c r="D57" s="48" t="str">
        <x:v>単体</x:v>
      </x:c>
      <x:c r="E57" s="48" t="str">
        <x:v>GoldWarehouse</x:v>
      </x:c>
      <x:c r="F57" s="48" t="str">
        <x:v>作成View。</x:v>
      </x:c>
      <x:c r="G57" s="48" t="str"/>
      <x:c r="H57" s="48" t="str">
        <x:v>00069 / 00072 / 00075 / 00082</x:v>
      </x:c>
      <x:c r="I57" s="149" t="n">
        <x:f>COUNTA('作業計画'!A75,'作業計画'!A78,'作業計画'!A81,'作業計画'!A88)</x:f>
        <x:v>4</x:v>
      </x:c>
      <x:c r="J57" s="149" t="str">
        <x:f>IF(I57&gt;0,"反映済","未反映")</x:f>
        <x:v>反映済</x:v>
      </x:c>
      <x:c r="K57" s="62" t="str">
        <x:v>ユーザー提供：作業内容画像5・No.52</x:v>
      </x:c>
    </x:row>
    <x:row r="58" ht="72" customHeight="1">
      <x:c r="A58" s="392" t="n">
        <x:v>53</x:v>
      </x:c>
      <x:c r="B58" s="150" t="str">
        <x:v>作業内容画像5</x:v>
      </x:c>
      <x:c r="C58" s="150" t="str">
        <x:v>テスト</x:v>
      </x:c>
      <x:c r="D58" s="56" t="str">
        <x:v>単体</x:v>
      </x:c>
      <x:c r="E58" s="56" t="str">
        <x:v>OutputLakehouse</x:v>
      </x:c>
      <x:c r="F58" s="56" t="str">
        <x:v>stgテーブル、tgtテーブル。</x:v>
      </x:c>
      <x:c r="G58" s="56" t="str"/>
      <x:c r="H58" s="56" t="str">
        <x:v>00069 / 00076 / 00077 / 00078 / 00079 / 00080 / 00081 / 00082</x:v>
      </x:c>
      <x:c r="I58" s="150" t="n">
        <x:f>COUNTA('作業計画'!A75,'作業計画'!A82,'作業計画'!A83,'作業計画'!A84,'作業計画'!A85,'作業計画'!A86,'作業計画'!A87,'作業計画'!A88)</x:f>
        <x:v>8</x:v>
      </x:c>
      <x:c r="J58" s="150" t="str">
        <x:f>IF(I58&gt;0,"反映済","未反映")</x:f>
        <x:v>反映済</x:v>
      </x:c>
      <x:c r="K58" s="64" t="str">
        <x:v>ユーザー提供：作業内容画像5・No.53</x:v>
      </x:c>
    </x:row>
    <x:row r="59" ht="72" customHeight="1">
      <x:c r="A59" s="391" t="n">
        <x:v>54</x:v>
      </x:c>
      <x:c r="B59" s="149" t="str">
        <x:v>作業内容画像5</x:v>
      </x:c>
      <x:c r="C59" s="149" t="str">
        <x:v>テスト</x:v>
      </x:c>
      <x:c r="D59" s="48" t="str">
        <x:v>結合</x:v>
      </x:c>
      <x:c r="E59" s="48" t="str">
        <x:v>BronzeLakehouse</x:v>
      </x:c>
      <x:c r="F59" s="48" t="str">
        <x:v>既存テーブルを含めた全体パフォーマンス。</x:v>
      </x:c>
      <x:c r="G59" s="48" t="str"/>
      <x:c r="H59" s="48" t="str">
        <x:v>00069 / 00083 / 00091</x:v>
      </x:c>
      <x:c r="I59" s="149" t="n">
        <x:f>COUNTA('作業計画'!A75,'作業計画'!A89,'作業計画'!A97)</x:f>
        <x:v>3</x:v>
      </x:c>
      <x:c r="J59" s="149" t="str">
        <x:f>IF(I59&gt;0,"反映済","未反映")</x:f>
        <x:v>反映済</x:v>
      </x:c>
      <x:c r="K59" s="62" t="str">
        <x:v>ユーザー提供：作業内容画像5・No.54</x:v>
      </x:c>
    </x:row>
    <x:row r="60" ht="72" customHeight="1">
      <x:c r="A60" s="392" t="n">
        <x:v>55</x:v>
      </x:c>
      <x:c r="B60" s="150" t="str">
        <x:v>作業内容画像5</x:v>
      </x:c>
      <x:c r="C60" s="150" t="str">
        <x:v>テスト</x:v>
      </x:c>
      <x:c r="D60" s="56" t="str">
        <x:v>結合</x:v>
      </x:c>
      <x:c r="E60" s="56" t="str">
        <x:v>SilverLakehouse</x:v>
      </x:c>
      <x:c r="F60" s="56" t="str">
        <x:v>既存テーブルを含めた全体パフォーマンス。</x:v>
      </x:c>
      <x:c r="G60" s="56" t="str"/>
      <x:c r="H60" s="56" t="str">
        <x:v>00069 / 00084 / 00091</x:v>
      </x:c>
      <x:c r="I60" s="150" t="n">
        <x:f>COUNTA('作業計画'!A75,'作業計画'!A90,'作業計画'!A97)</x:f>
        <x:v>3</x:v>
      </x:c>
      <x:c r="J60" s="150" t="str">
        <x:f>IF(I60&gt;0,"反映済","未反映")</x:f>
        <x:v>反映済</x:v>
      </x:c>
      <x:c r="K60" s="64" t="str">
        <x:v>ユーザー提供：作業内容画像5・No.55</x:v>
      </x:c>
    </x:row>
    <x:row r="61" ht="72" customHeight="1">
      <x:c r="A61" s="391" t="n">
        <x:v>56</x:v>
      </x:c>
      <x:c r="B61" s="149" t="str">
        <x:v>作業内容画像5</x:v>
      </x:c>
      <x:c r="C61" s="149" t="str">
        <x:v>テスト</x:v>
      </x:c>
      <x:c r="D61" s="48" t="str">
        <x:v>結合</x:v>
      </x:c>
      <x:c r="E61" s="48" t="str">
        <x:v>OutputLakehouse</x:v>
      </x:c>
      <x:c r="F61" s="48" t="str">
        <x:v>パフォーマンス。</x:v>
      </x:c>
      <x:c r="G61" s="48" t="str"/>
      <x:c r="H61" s="48" t="str">
        <x:v>00069 / 00085 / 00091</x:v>
      </x:c>
      <x:c r="I61" s="149" t="n">
        <x:f>COUNTA('作業計画'!A75,'作業計画'!A91,'作業計画'!A97)</x:f>
        <x:v>3</x:v>
      </x:c>
      <x:c r="J61" s="149" t="str">
        <x:f>IF(I61&gt;0,"反映済","未反映")</x:f>
        <x:v>反映済</x:v>
      </x:c>
      <x:c r="K61" s="62" t="str">
        <x:v>ユーザー提供：作業内容画像5・No.56</x:v>
      </x:c>
    </x:row>
    <x:row r="62" ht="72" customHeight="1">
      <x:c r="A62" s="392" t="n">
        <x:v>57</x:v>
      </x:c>
      <x:c r="B62" s="150" t="str">
        <x:v>作業内容画像5</x:v>
      </x:c>
      <x:c r="C62" s="150" t="str">
        <x:v>テスト</x:v>
      </x:c>
      <x:c r="D62" s="56" t="str">
        <x:v>結合</x:v>
      </x:c>
      <x:c r="E62" s="56" t="str">
        <x:v>OutputLakehouse</x:v>
      </x:c>
      <x:c r="F62" s="56" t="str">
        <x:v>シナリオ。</x:v>
      </x:c>
      <x:c r="G62" s="56" t="str"/>
      <x:c r="H62" s="56" t="str">
        <x:v>00069 / 00086 / 00087 / 00088 / 00091</x:v>
      </x:c>
      <x:c r="I62" s="150" t="n">
        <x:f>COUNTA('作業計画'!A75,'作業計画'!A92,'作業計画'!A93,'作業計画'!A94,'作業計画'!A97)</x:f>
        <x:v>5</x:v>
      </x:c>
      <x:c r="J62" s="150" t="str">
        <x:f>IF(I62&gt;0,"反映済","未反映")</x:f>
        <x:v>反映済</x:v>
      </x:c>
      <x:c r="K62" s="64" t="str">
        <x:v>ユーザー提供：作業内容画像5・No.57</x:v>
      </x:c>
    </x:row>
    <x:row r="63" ht="72" customHeight="1">
      <x:c r="A63" s="391" t="n">
        <x:v>58</x:v>
      </x:c>
      <x:c r="B63" s="149" t="str">
        <x:v>作業内容画像5</x:v>
      </x:c>
      <x:c r="C63" s="149" t="str">
        <x:v>テスト</x:v>
      </x:c>
      <x:c r="D63" s="48" t="str">
        <x:v>結合</x:v>
      </x:c>
      <x:c r="E63" s="48" t="str">
        <x:v>OutputLakehouse</x:v>
      </x:c>
      <x:c r="F63" s="48" t="str">
        <x:v>例外対応。</x:v>
      </x:c>
      <x:c r="G63" s="48" t="str"/>
      <x:c r="H63" s="48" t="str">
        <x:v>00069 / 00089 / 00090 / 00091</x:v>
      </x:c>
      <x:c r="I63" s="149" t="n">
        <x:f>COUNTA('作業計画'!A75,'作業計画'!A95,'作業計画'!A96,'作業計画'!A97)</x:f>
        <x:v>4</x:v>
      </x:c>
      <x:c r="J63" s="149" t="str">
        <x:f>IF(I63&gt;0,"反映済","未反映")</x:f>
        <x:v>反映済</x:v>
      </x:c>
      <x:c r="K63" s="62" t="str">
        <x:v>ユーザー提供：作業内容画像5・No.58</x:v>
      </x:c>
    </x:row>
    <x:row r="64" ht="72" customHeight="1">
      <x:c r="A64" s="392" t="n">
        <x:v>59</x:v>
      </x:c>
      <x:c r="B64" s="150" t="str">
        <x:v>作業内容画像5</x:v>
      </x:c>
      <x:c r="C64" s="150" t="str">
        <x:v>UAT</x:v>
      </x:c>
      <x:c r="D64" s="56" t="str">
        <x:v>UAT</x:v>
      </x:c>
      <x:c r="E64" s="56" t="str">
        <x:v>Product</x:v>
      </x:c>
      <x:c r="F64" s="56" t="str"/>
      <x:c r="G64" s="56" t="str"/>
      <x:c r="H64" s="56" t="str">
        <x:v>00092 / 00093 / 00098</x:v>
      </x:c>
      <x:c r="I64" s="150" t="n">
        <x:f>COUNTA('作業計画'!A98,'作業計画'!A99,'作業計画'!A104)</x:f>
        <x:v>3</x:v>
      </x:c>
      <x:c r="J64" s="150" t="str">
        <x:f>IF(I64&gt;0,"反映済","未反映")</x:f>
        <x:v>反映済</x:v>
      </x:c>
      <x:c r="K64" s="64" t="str">
        <x:v>ユーザー提供：作業内容画像5・No.59</x:v>
      </x:c>
    </x:row>
    <x:row r="65" ht="72" customHeight="1">
      <x:c r="A65" s="391" t="n">
        <x:v>60</x:v>
      </x:c>
      <x:c r="B65" s="149" t="str">
        <x:v>作業内容画像5</x:v>
      </x:c>
      <x:c r="C65" s="149" t="str">
        <x:v>UAT</x:v>
      </x:c>
      <x:c r="D65" s="48" t="str">
        <x:v>UAT</x:v>
      </x:c>
      <x:c r="E65" s="48" t="str">
        <x:v>Contact</x:v>
      </x:c>
      <x:c r="F65" s="48" t="str"/>
      <x:c r="G65" s="48" t="str"/>
      <x:c r="H65" s="48" t="str">
        <x:v>00092 / 00094 / 00098</x:v>
      </x:c>
      <x:c r="I65" s="149" t="n">
        <x:f>COUNTA('作業計画'!A98,'作業計画'!A100,'作業計画'!A104)</x:f>
        <x:v>3</x:v>
      </x:c>
      <x:c r="J65" s="149" t="str">
        <x:f>IF(I65&gt;0,"反映済","未反映")</x:f>
        <x:v>反映済</x:v>
      </x:c>
      <x:c r="K65" s="62" t="str">
        <x:v>ユーザー提供：作業内容画像5・No.60</x:v>
      </x:c>
    </x:row>
    <x:row r="66" ht="72" customHeight="1">
      <x:c r="A66" s="392" t="n">
        <x:v>61</x:v>
      </x:c>
      <x:c r="B66" s="150" t="str">
        <x:v>作業内容画像5</x:v>
      </x:c>
      <x:c r="C66" s="150" t="str">
        <x:v>UAT</x:v>
      </x:c>
      <x:c r="D66" s="56" t="str">
        <x:v>UAT</x:v>
      </x:c>
      <x:c r="E66" s="56" t="str">
        <x:v>Account</x:v>
      </x:c>
      <x:c r="F66" s="56" t="str"/>
      <x:c r="G66" s="56" t="str"/>
      <x:c r="H66" s="56" t="str">
        <x:v>00092 / 00095 / 00098</x:v>
      </x:c>
      <x:c r="I66" s="150" t="n">
        <x:f>COUNTA('作業計画'!A98,'作業計画'!A101,'作業計画'!A104)</x:f>
        <x:v>3</x:v>
      </x:c>
      <x:c r="J66" s="150" t="str">
        <x:f>IF(I66&gt;0,"反映済","未反映")</x:f>
        <x:v>反映済</x:v>
      </x:c>
      <x:c r="K66" s="64" t="str">
        <x:v>ユーザー提供：作業内容画像5・No.61</x:v>
      </x:c>
    </x:row>
    <x:row r="67" ht="72" customHeight="1">
      <x:c r="A67" s="391" t="n">
        <x:v>62</x:v>
      </x:c>
      <x:c r="B67" s="149" t="str">
        <x:v>作業内容画像5</x:v>
      </x:c>
      <x:c r="C67" s="149" t="str">
        <x:v>UAT</x:v>
      </x:c>
      <x:c r="D67" s="48" t="str">
        <x:v>UAT</x:v>
      </x:c>
      <x:c r="E67" s="48" t="str">
        <x:v>AccountContact</x:v>
      </x:c>
      <x:c r="F67" s="48" t="str"/>
      <x:c r="G67" s="48" t="str"/>
      <x:c r="H67" s="48" t="str">
        <x:v>00092 / 00096 / 00098</x:v>
      </x:c>
      <x:c r="I67" s="149" t="n">
        <x:f>COUNTA('作業計画'!A98,'作業計画'!A102,'作業計画'!A104)</x:f>
        <x:v>3</x:v>
      </x:c>
      <x:c r="J67" s="149" t="str">
        <x:f>IF(I67&gt;0,"反映済","未反映")</x:f>
        <x:v>反映済</x:v>
      </x:c>
      <x:c r="K67" s="62" t="str">
        <x:v>ユーザー提供：作業内容画像5・No.62</x:v>
      </x:c>
    </x:row>
    <x:row r="68" ht="72" customHeight="1">
      <x:c r="A68" s="392" t="n">
        <x:v>63</x:v>
      </x:c>
      <x:c r="B68" s="150" t="str">
        <x:v>作業内容画像5</x:v>
      </x:c>
      <x:c r="C68" s="150" t="str">
        <x:v>UAT</x:v>
      </x:c>
      <x:c r="D68" s="56" t="str">
        <x:v>UAT</x:v>
      </x:c>
      <x:c r="E68" s="56" t="str">
        <x:v>SalesRepHospital</x:v>
      </x:c>
      <x:c r="F68" s="56" t="str"/>
      <x:c r="G68" s="56" t="str"/>
      <x:c r="H68" s="56" t="str">
        <x:v>00092 / 00097 / 00098</x:v>
      </x:c>
      <x:c r="I68" s="150" t="n">
        <x:f>COUNTA('作業計画'!A98,'作業計画'!A103,'作業計画'!A104)</x:f>
        <x:v>3</x:v>
      </x:c>
      <x:c r="J68" s="150" t="str">
        <x:f>IF(I68&gt;0,"反映済","未反映")</x:f>
        <x:v>反映済</x:v>
      </x:c>
      <x:c r="K68" s="64" t="str">
        <x:v>ユーザー提供：作業内容画像5・No.63</x:v>
      </x:c>
    </x:row>
    <x:row r="69" ht="72" customHeight="1">
      <x:c r="A69" s="393" t="n">
        <x:v>64</x:v>
      </x:c>
      <x:c r="B69" s="394" t="str">
        <x:v>作業内容画像5</x:v>
      </x:c>
      <x:c r="C69" s="394" t="str">
        <x:v>KT</x:v>
      </x:c>
      <x:c r="D69" s="385" t="str"/>
      <x:c r="E69" s="385" t="str"/>
      <x:c r="F69" s="385" t="str"/>
      <x:c r="G69" s="385" t="str">
        <x:v>Datalake運用チームにGoldLayerのKTを行う予定。</x:v>
      </x:c>
      <x:c r="H69" s="385" t="str">
        <x:v>00099 / 00100 / 00101</x:v>
      </x:c>
      <x:c r="I69" s="394" t="n">
        <x:f>COUNTA('作業計画'!A105,'作業計画'!A106,'作業計画'!A107)</x:f>
        <x:v>3</x:v>
      </x:c>
      <x:c r="J69" s="394" t="str">
        <x:f>IF(I69&gt;0,"反映済","未反映")</x:f>
        <x:v>反映済</x:v>
      </x:c>
      <x:c r="K69" s="386" t="str">
        <x:v>ユーザー提供：作業内容画像5・No.64</x:v>
      </x:c>
    </x:row>
  </x:sheetData>
  <x:mergeCells>
    <x:mergeCell ref="A1:K1"/>
    <x:mergeCell ref="A2:K2"/>
  </x:mergeCells>
  <x:conditionalFormatting sqref="J6:J69">
    <x:cfRule type="expression" dxfId="5" priority="1">
      <x:formula>J6="反映済"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2eae9fc3b1b4232"/>
  </x:tableParts>
</x:worksheet>
</file>

<file path=xl/worksheets/sheet6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5" hidden="0" customWidth="1"/>
    <x:col min="4" max="4" width="15" hidden="0" customWidth="1"/>
    <x:col min="5" max="5" width="40" hidden="0" customWidth="1"/>
    <x:col min="6" max="6" width="48" hidden="0" customWidth="1"/>
    <x:col min="7" max="7" width="34" hidden="0" customWidth="1"/>
    <x:col min="8" max="8" width="13" hidden="0" customWidth="1"/>
    <x:col min="9" max="9" width="15" hidden="0" customWidth="1"/>
    <x:col min="10" max="10" width="14" hidden="0" customWidth="1"/>
    <x:col min="11" max="11" width="37" hidden="0" customWidth="1"/>
    <x:col min="12" max="12" width="48" hidden="0" customWidth="1"/>
  </x:cols>
  <x:sheetData>
    <x:row r="1" ht="32" customHeight="1">
      <x:c r="A1" s="41" t="str">
        <x:v>確認事項・計画上の保留点｜承認前に解消する項目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28" customHeight="1">
      <x:c r="A2" s="49" t="str">
        <x:v>回答期限は関連タスク開始の前営業日を目安表示（仮）。確認先の氏名は画像にある範囲のみ記載し、担当決定を意味しません。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</x:row>
    <x:row r="3" ht="22" customHeight="1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</x:row>
    <x:row r="4" ht="22" customHeight="1">
      <x:c r="A4" s="30"/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</x:row>
    <x:row r="5" ht="34" customHeight="1">
      <x:c r="A5" s="212" t="str">
        <x:v>確認ID</x:v>
      </x:c>
      <x:c r="B5" s="212" t="str">
        <x:v>重要度</x:v>
      </x:c>
      <x:c r="C5" s="212" t="str">
        <x:v>元資料No.</x:v>
      </x:c>
      <x:c r="D5" s="212" t="str">
        <x:v>分類</x:v>
      </x:c>
      <x:c r="E5" s="212" t="str">
        <x:v>未確定事項</x:v>
      </x:c>
      <x:c r="F5" s="212" t="str">
        <x:v>確認内容</x:v>
      </x:c>
      <x:c r="G5" s="212" t="str">
        <x:v>確認先／担当（仮）</x:v>
      </x:c>
      <x:c r="H5" s="212" t="str">
        <x:v>関連タスクID</x:v>
      </x:c>
      <x:c r="I5" s="212" t="str">
        <x:v>回答期限目安</x:v>
      </x:c>
      <x:c r="J5" s="212" t="str">
        <x:v>状態</x:v>
      </x:c>
      <x:c r="K5" s="212" t="str">
        <x:v>影響</x:v>
      </x:c>
      <x:c r="L5" s="212" t="str">
        <x:v>次の対応</x:v>
      </x:c>
    </x:row>
    <x:row r="6" ht="76" customHeight="1">
      <x:c r="A6" s="58" t="str">
        <x:v>C01</x:v>
      </x:c>
      <x:c r="B6" s="59" t="str">
        <x:v>1.高</x:v>
      </x:c>
      <x:c r="C6" s="59" t="str">
        <x:v>4／13</x:v>
      </x:c>
      <x:c r="D6" s="59" t="str">
        <x:v>計画</x:v>
      </x:c>
      <x:c r="E6" s="59" t="str">
        <x:v>正式な開始日・期限・要員数が未提示</x:v>
      </x:c>
      <x:c r="F6" s="59" t="str">
        <x:v>開始日、納期、担当、並列実施可否を合意する</x:v>
      </x:c>
      <x:c r="G6" s="59" t="str">
        <x:v>PM（要確定）</x:v>
      </x:c>
      <x:c r="H6" s="472" t="str">
        <x:v>00010</x:v>
      </x:c>
      <x:c r="I6" s="344" t="n">
        <x:f>IF('作業計画'!O16="","",WORKDAY.INTL('作業計画'!O16,-1,'設定'!$B$6,'設定'!$J$4:$J$53))</x:f>
        <x:v>46322</x:v>
      </x:c>
      <x:c r="J6" s="84" t="str">
        <x:v>未確認</x:v>
      </x:c>
      <x:c r="K6" s="59" t="str">
        <x:v>全日程の再設定が必要</x:v>
      </x:c>
      <x:c r="L6" s="60" t="str">
        <x:v>設定と作業計画の青文字セルを確定する</x:v>
      </x:c>
    </x:row>
    <x:row r="7" ht="76" customHeight="1">
      <x:c r="A7" s="61" t="str">
        <x:v>C02</x:v>
      </x:c>
      <x:c r="B7" s="48" t="str">
        <x:v>1.高</x:v>
      </x:c>
      <x:c r="C7" s="48" t="str">
        <x:v>7</x:v>
      </x:c>
      <x:c r="D7" s="48" t="str">
        <x:v>SLA</x:v>
      </x:c>
      <x:c r="E7" s="48" t="str">
        <x:v>Dataverse反映時刻が8時ごろでよいか</x:v>
      </x:c>
      <x:c r="F7" s="48" t="str">
        <x:v>更新完了時刻・頻度・許容遅延を確認する</x:v>
      </x:c>
      <x:c r="G7" s="48" t="str">
        <x:v>冨士谷さん（元資料の確認先）</x:v>
      </x:c>
      <x:c r="H7" s="473" t="str">
        <x:v>00006</x:v>
      </x:c>
      <x:c r="I7" s="345" t="n">
        <x:f>IF('作業計画'!O12="","",WORKDAY.INTL('作業計画'!O12,-1,'設定'!$B$6,'設定'!$J$4:$J$53))</x:f>
        <x:v>46318</x:v>
      </x:c>
      <x:c r="J7" s="85" t="str">
        <x:v>未確認</x:v>
      </x:c>
      <x:c r="K7" s="48" t="str">
        <x:v>性能・連携の合否基準に影響</x:v>
      </x:c>
      <x:c r="L7" s="62" t="str">
        <x:v>業務側の回答を要件へ反映する</x:v>
      </x:c>
    </x:row>
    <x:row r="8" ht="76" customHeight="1">
      <x:c r="A8" s="63" t="str">
        <x:v>C03</x:v>
      </x:c>
      <x:c r="B8" s="56" t="str">
        <x:v>1.高</x:v>
      </x:c>
      <x:c r="C8" s="56" t="str">
        <x:v>9／36／39</x:v>
      </x:c>
      <x:c r="D8" s="56" t="str">
        <x:v>数量</x:v>
      </x:c>
      <x:c r="E8" s="56" t="str">
        <x:v>INPUT・Bronze／Silver追加テーブル数が未確定</x:v>
      </x:c>
      <x:c r="F8" s="56" t="str">
        <x:v>INPUTを確定し、39テーブル見込みの採否を確認する</x:v>
      </x:c>
      <x:c r="G8" s="56" t="str">
        <x:v>データソース担当（要確定）</x:v>
      </x:c>
      <x:c r="H8" s="474" t="str">
        <x:v>00008</x:v>
      </x:c>
      <x:c r="I8" s="346" t="n">
        <x:f>IF('作業計画'!O14="","",WORKDAY.INTL('作業計画'!O14,-1,'設定'!$B$6,'設定'!$J$4:$J$53))</x:f>
        <x:v>46317</x:v>
      </x:c>
      <x:c r="J8" s="85" t="str">
        <x:v>未確認</x:v>
      </x:c>
      <x:c r="K8" s="56" t="str">
        <x:v>開発・試験期間の再見積りが必要</x:v>
      </x:c>
      <x:c r="L8" s="64" t="str">
        <x:v>Irisチケットへテーブル一覧を添付する</x:v>
      </x:c>
    </x:row>
    <x:row r="9" ht="76" customHeight="1">
      <x:c r="A9" s="61" t="str">
        <x:v>C04</x:v>
      </x:c>
      <x:c r="B9" s="48" t="str">
        <x:v>1.高</x:v>
      </x:c>
      <x:c r="C9" s="48" t="str">
        <x:v>10</x:v>
      </x:c>
      <x:c r="D9" s="48" t="str">
        <x:v>スコープ</x:v>
      </x:c>
      <x:c r="E9" s="48" t="str">
        <x:v>DPS処理の必要／不要が未確定</x:v>
      </x:c>
      <x:c r="F9" s="48" t="str">
        <x:v>必要な処理と除外範囲を決定する</x:v>
      </x:c>
      <x:c r="G9" s="48" t="str">
        <x:v>すささん（元資料の確認先）</x:v>
      </x:c>
      <x:c r="H9" s="473" t="str">
        <x:v>00009</x:v>
      </x:c>
      <x:c r="I9" s="345" t="n">
        <x:f>IF('作業計画'!O15="","",WORKDAY.INTL('作業計画'!O15,-1,'設定'!$B$6,'設定'!$J$4:$J$53))</x:f>
        <x:v>46318</x:v>
      </x:c>
      <x:c r="J9" s="85" t="str">
        <x:v>未確認</x:v>
      </x:c>
      <x:c r="K9" s="48" t="str">
        <x:v>必要な場合は開発・試験を別途追加</x:v>
      </x:c>
      <x:c r="L9" s="62" t="str">
        <x:v>判断結果と追加見積りを記録する</x:v>
      </x:c>
    </x:row>
    <x:row r="10" ht="76" customHeight="1">
      <x:c r="A10" s="63" t="str">
        <x:v>C05</x:v>
      </x:c>
      <x:c r="B10" s="56" t="str">
        <x:v>1.高</x:v>
      </x:c>
      <x:c r="C10" s="56" t="str">
        <x:v>12／24</x:v>
      </x:c>
      <x:c r="D10" s="56" t="str">
        <x:v>接続許可</x:v>
      </x:c>
      <x:c r="E10" s="56" t="str">
        <x:v>NextForce開発環境への接続・コピー可否</x:v>
      </x:c>
      <x:c r="F10" s="56" t="str">
        <x:v>検証接続・データコピーの事前許可を取得する</x:v>
      </x:c>
      <x:c r="G10" s="56" t="str">
        <x:v>しまださん（元資料の確認先）</x:v>
      </x:c>
      <x:c r="H10" s="474" t="str">
        <x:v>00028</x:v>
      </x:c>
      <x:c r="I10" s="346" t="n">
        <x:f>IF('作業計画'!O34="","",WORKDAY.INTL('作業計画'!O34,-1,'設定'!$B$6,'設定'!$J$4:$J$53))</x:f>
        <x:v>46342</x:v>
      </x:c>
      <x:c r="J10" s="85" t="str">
        <x:v>未確認</x:v>
      </x:c>
      <x:c r="K10" s="56" t="str">
        <x:v>連携PoCの着手可否に影響</x:v>
      </x:c>
      <x:c r="L10" s="64" t="str">
        <x:v>許可・接続先・利用データを確定する</x:v>
      </x:c>
    </x:row>
    <x:row r="11" ht="76" customHeight="1">
      <x:c r="A11" s="61" t="str">
        <x:v>C06</x:v>
      </x:c>
      <x:c r="B11" s="48" t="str">
        <x:v>1.高</x:v>
      </x:c>
      <x:c r="C11" s="48" t="str">
        <x:v>19～23</x:v>
      </x:c>
      <x:c r="D11" s="48" t="str">
        <x:v>出力仕様</x:v>
      </x:c>
      <x:c r="E11" s="48" t="str">
        <x:v>5テーブルの項目・型・設定値が未確定</x:v>
      </x:c>
      <x:c r="F11" s="48" t="str">
        <x:v>OUTPUTテーブル名、列、型、更新・例外仕様を決める</x:v>
      </x:c>
      <x:c r="G11" s="48" t="str">
        <x:v>業務／設計担当（要確定）</x:v>
      </x:c>
      <x:c r="H11" s="473" t="str">
        <x:v>00019</x:v>
      </x:c>
      <x:c r="I11" s="345" t="n">
        <x:f>IF('作業計画'!O25="","",WORKDAY.INTL('作業計画'!O25,-1,'設定'!$B$6,'設定'!$J$4:$J$53))</x:f>
        <x:v>46337</x:v>
      </x:c>
      <x:c r="J11" s="85" t="str">
        <x:v>未確認</x:v>
      </x:c>
      <x:c r="K11" s="48" t="str">
        <x:v>基本・詳細設計と以降の実装に影響</x:v>
      </x:c>
      <x:c r="L11" s="62" t="str">
        <x:v>5テーブル分の要件を承認する</x:v>
      </x:c>
    </x:row>
    <x:row r="12" ht="76" customHeight="1">
      <x:c r="A12" s="63" t="str">
        <x:v>C07</x:v>
      </x:c>
      <x:c r="B12" s="56" t="str">
        <x:v>2.中</x:v>
      </x:c>
      <x:c r="C12" s="56" t="str">
        <x:v>15／18／30</x:v>
      </x:c>
      <x:c r="D12" s="56" t="str">
        <x:v>権限</x:v>
      </x:c>
      <x:c r="E12" s="56" t="str">
        <x:v>既存資材と新規環境の権限境界</x:v>
      </x:c>
      <x:c r="F12" s="56" t="str">
        <x:v>DEV／QA／PROD、テーブル・行・列の閲覧範囲を確認</x:v>
      </x:c>
      <x:c r="G12" s="56" t="str">
        <x:v>基盤／セキュリティ担当（要確定）</x:v>
      </x:c>
      <x:c r="H12" s="474" t="str">
        <x:v>00015</x:v>
      </x:c>
      <x:c r="I12" s="346" t="n">
        <x:f>IF('作業計画'!O21="","",WORKDAY.INTL('作業計画'!O21,-1,'設定'!$B$6,'設定'!$J$4:$J$53))</x:f>
        <x:v>46331</x:v>
      </x:c>
      <x:c r="J12" s="85" t="str">
        <x:v>未確認</x:v>
      </x:c>
      <x:c r="K12" s="56" t="str">
        <x:v>環境作成・検証・運用に影響</x:v>
      </x:c>
      <x:c r="L12" s="64" t="str">
        <x:v>既存方針との差異と承認者を整理する</x:v>
      </x:c>
    </x:row>
    <x:row r="13" ht="76" customHeight="1">
      <x:c r="A13" s="61" t="str">
        <x:v>C08</x:v>
      </x:c>
      <x:c r="B13" s="48" t="str">
        <x:v>2.中</x:v>
      </x:c>
      <x:c r="C13" s="48" t="str">
        <x:v>16</x:v>
      </x:c>
      <x:c r="D13" s="48" t="str">
        <x:v>データ管理</x:v>
      </x:c>
      <x:c r="E13" s="48" t="str">
        <x:v>SharePoint管理者・保存期間</x:v>
      </x:c>
      <x:c r="F13" s="48" t="str">
        <x:v>データ管理者と運用チームの保管ルールを確認</x:v>
      </x:c>
      <x:c r="G13" s="48" t="str">
        <x:v>運用／データ管理担当（要確定）</x:v>
      </x:c>
      <x:c r="H13" s="473" t="str">
        <x:v>00016</x:v>
      </x:c>
      <x:c r="I13" s="345" t="n">
        <x:f>IF('作業計画'!O22="","",WORKDAY.INTL('作業計画'!O22,-1,'設定'!$B$6,'設定'!$J$4:$J$53))</x:f>
        <x:v>46331</x:v>
      </x:c>
      <x:c r="J13" s="85" t="str">
        <x:v>未確認</x:v>
      </x:c>
      <x:c r="K13" s="48" t="str">
        <x:v>データ配置・権限・保守に影響</x:v>
      </x:c>
      <x:c r="L13" s="62" t="str">
        <x:v>保管先・所有者・保存期間を記録する</x:v>
      </x:c>
    </x:row>
    <x:row r="14" ht="76" customHeight="1">
      <x:c r="A14" s="63" t="str">
        <x:v>C09</x:v>
      </x:c>
      <x:c r="B14" s="56" t="str">
        <x:v>1.高</x:v>
      </x:c>
      <x:c r="C14" s="56" t="str">
        <x:v>17</x:v>
      </x:c>
      <x:c r="D14" s="56" t="str">
        <x:v>品質</x:v>
      </x:c>
      <x:c r="E14" s="56" t="str">
        <x:v>Omni2Fabric同等基準の適用可否</x:v>
      </x:c>
      <x:c r="F14" s="56" t="str">
        <x:v>一致性・不具合・性能の判定基準を確認</x:v>
      </x:c>
      <x:c r="G14" s="56" t="str">
        <x:v>品質／業務担当（要確定）</x:v>
      </x:c>
      <x:c r="H14" s="474" t="str">
        <x:v>00017</x:v>
      </x:c>
      <x:c r="I14" s="346" t="n">
        <x:f>IF('作業計画'!O23="","",WORKDAY.INTL('作業計画'!O23,-1,'設定'!$B$6,'設定'!$J$4:$J$53))</x:f>
        <x:v>46335</x:v>
      </x:c>
      <x:c r="J14" s="85" t="str">
        <x:v>未確認</x:v>
      </x:c>
      <x:c r="K14" s="56" t="str">
        <x:v>単体・結合・UATの合否に影響</x:v>
      </x:c>
      <x:c r="L14" s="64" t="str">
        <x:v>品質基準・データオーナーを確定する</x:v>
      </x:c>
    </x:row>
    <x:row r="15" ht="76" customHeight="1">
      <x:c r="A15" s="61" t="str">
        <x:v>C10</x:v>
      </x:c>
      <x:c r="B15" s="48" t="str">
        <x:v>1.高</x:v>
      </x:c>
      <x:c r="C15" s="48" t="str">
        <x:v>24</x:v>
      </x:c>
      <x:c r="D15" s="48" t="str">
        <x:v>事前検証</x:v>
      </x:c>
      <x:c r="E15" s="48" t="str">
        <x:v>Fabric→Dataverseテスト連携</x:v>
      </x:c>
      <x:c r="F15" s="48" t="str">
        <x:v>認証・コピー・更新結果を先行して検証する</x:v>
      </x:c>
      <x:c r="G15" s="48" t="str">
        <x:v>連携担当（要確定）</x:v>
      </x:c>
      <x:c r="H15" s="473" t="str">
        <x:v>00028</x:v>
      </x:c>
      <x:c r="I15" s="345" t="n">
        <x:f>IF('作業計画'!O34="","",WORKDAY.INTL('作業計画'!O34,-1,'設定'!$B$6,'設定'!$J$4:$J$53))</x:f>
        <x:v>46342</x:v>
      </x:c>
      <x:c r="J15" s="85" t="str">
        <x:v>未確認</x:v>
      </x:c>
      <x:c r="K15" s="48" t="str">
        <x:v>OutputPipeline方式と工期に影響</x:v>
      </x:c>
      <x:c r="L15" s="62" t="str">
        <x:v>接続・実行・照合のエビデンスを取得する</x:v>
      </x:c>
    </x:row>
    <x:row r="16" ht="76" customHeight="1">
      <x:c r="A16" s="63" t="str">
        <x:v>C11</x:v>
      </x:c>
      <x:c r="B16" s="56" t="str">
        <x:v>1.高</x:v>
      </x:c>
      <x:c r="C16" s="56" t="str">
        <x:v>43</x:v>
      </x:c>
      <x:c r="D16" s="56" t="str">
        <x:v>事前検証</x:v>
      </x:c>
      <x:c r="E16" s="56" t="str">
        <x:v>SQL共通Functionの実行先・作成権限</x:v>
      </x:c>
      <x:c r="F16" s="56" t="str">
        <x:v>Warehouse／SQL endpointで採用する作成先を確定する</x:v>
      </x:c>
      <x:c r="G16" s="56" t="str">
        <x:v>李さん（元資料の確認先）</x:v>
      </x:c>
      <x:c r="H16" s="474" t="str">
        <x:v>00029</x:v>
      </x:c>
      <x:c r="I16" s="346" t="n">
        <x:f>IF('作業計画'!O35="","",WORKDAY.INTL('作業計画'!O35,-1,'設定'!$B$6,'設定'!$J$4:$J$53))</x:f>
        <x:v>46339</x:v>
      </x:c>
      <x:c r="J16" s="85" t="str">
        <x:v>未確認</x:v>
      </x:c>
      <x:c r="K16" s="56" t="str">
        <x:v>SQL共通関数・Viewの実装に影響</x:v>
      </x:c>
      <x:c r="L16" s="64" t="str">
        <x:v>作成・呼出し・文字列処理の結果を記録する</x:v>
      </x:c>
    </x:row>
    <x:row r="17" ht="76" customHeight="1">
      <x:c r="A17" s="61" t="str">
        <x:v>C12</x:v>
      </x:c>
      <x:c r="B17" s="48" t="str">
        <x:v>1.高</x:v>
      </x:c>
      <x:c r="C17" s="48" t="str">
        <x:v>47</x:v>
      </x:c>
      <x:c r="D17" s="48" t="str">
        <x:v>事前検証</x:v>
      </x:c>
      <x:c r="E17" s="48" t="str">
        <x:v>別Notebook共通関数の呼出し方式</x:v>
      </x:c>
      <x:c r="F17" s="48" t="str">
        <x:v>会話で指定された方式A（%run）の動作を確認する</x:v>
      </x:c>
      <x:c r="G17" s="48" t="str">
        <x:v>李さん（元資料の確認先）</x:v>
      </x:c>
      <x:c r="H17" s="473" t="str">
        <x:v>00030</x:v>
      </x:c>
      <x:c r="I17" s="345" t="n">
        <x:f>IF('作業計画'!O36="","",WORKDAY.INTL('作業計画'!O36,-1,'設定'!$B$6,'設定'!$J$4:$J$53))</x:f>
        <x:v>46339</x:v>
      </x:c>
      <x:c r="J17" s="85" t="str">
        <x:v>未確認</x:v>
      </x:c>
      <x:c r="K17" s="48" t="str">
        <x:v>共通Notebook・5テーブル加工に影響</x:v>
      </x:c>
      <x:c r="L17" s="62" t="str">
        <x:v>定義・読込み・呼出し・再実行を検証する</x:v>
      </x:c>
    </x:row>
    <x:row r="18" ht="76" customHeight="1">
      <x:c r="A18" s="63" t="str">
        <x:v>C13</x:v>
      </x:c>
      <x:c r="B18" s="56" t="str">
        <x:v>2.中</x:v>
      </x:c>
      <x:c r="C18" s="56" t="str">
        <x:v>42</x:v>
      </x:c>
      <x:c r="D18" s="56" t="str">
        <x:v>構成数量</x:v>
      </x:c>
      <x:c r="E18" s="56" t="str">
        <x:v>GoldLakehouse 1～2件の数量が未確定</x:v>
      </x:c>
      <x:c r="F18" s="56" t="str">
        <x:v>配置単位・データ取得経路・環境ごとの数量を決める</x:v>
      </x:c>
      <x:c r="G18" s="56" t="str">
        <x:v>設計担当（要確定）</x:v>
      </x:c>
      <x:c r="H18" s="474" t="str">
        <x:v>00046</x:v>
      </x:c>
      <x:c r="I18" s="346" t="n">
        <x:f>IF('作業計画'!O52="","",WORKDAY.INTL('作業計画'!O52,-1,'設定'!$B$6,'設定'!$J$4:$J$53))</x:f>
        <x:v>46371</x:v>
      </x:c>
      <x:c r="J18" s="85" t="str">
        <x:v>未確認</x:v>
      </x:c>
      <x:c r="K18" s="56" t="str">
        <x:v>構築数量と工数に影響</x:v>
      </x:c>
      <x:c r="L18" s="64" t="str">
        <x:v>アーキテクチャ・数量を設計書に反映する</x:v>
      </x:c>
    </x:row>
    <x:row r="19" ht="76" customHeight="1">
      <x:c r="A19" s="61" t="str">
        <x:v>C14</x:v>
      </x:c>
      <x:c r="B19" s="48" t="str">
        <x:v>2.中</x:v>
      </x:c>
      <x:c r="C19" s="48" t="str">
        <x:v>41／44／45／48</x:v>
      </x:c>
      <x:c r="D19" s="48" t="str">
        <x:v>成果物数量</x:v>
      </x:c>
      <x:c r="E19" s="48" t="str">
        <x:v>Notebook5件？・View件数・出力物の粒度</x:v>
      </x:c>
      <x:c r="F19" s="48" t="str">
        <x:v>5出力ごとのNotebook・Pipeline・stg／tgtを確認</x:v>
      </x:c>
      <x:c r="G19" s="48" t="str">
        <x:v>設計担当（要確定）</x:v>
      </x:c>
      <x:c r="H19" s="473" t="str">
        <x:v>00031</x:v>
      </x:c>
      <x:c r="I19" s="345" t="n">
        <x:f>IF('作業計画'!O37="","",WORKDAY.INTL('作業計画'!O37,-1,'設定'!$B$6,'設定'!$J$4:$J$53))</x:f>
        <x:v>46345</x:v>
      </x:c>
      <x:c r="J19" s="85" t="str">
        <x:v>未確認</x:v>
      </x:c>
      <x:c r="K19" s="48" t="str">
        <x:v>数量・進捗率の分母に影響</x:v>
      </x:c>
      <x:c r="L19" s="62" t="str">
        <x:v>総数量を実際の管理単位へ変更する</x:v>
      </x:c>
    </x:row>
    <x:row r="20" ht="76" customHeight="1">
      <x:c r="A20" s="63" t="str">
        <x:v>C15</x:v>
      </x:c>
      <x:c r="B20" s="56" t="str">
        <x:v>2.中</x:v>
      </x:c>
      <x:c r="C20" s="56" t="str">
        <x:v>8／58</x:v>
      </x:c>
      <x:c r="D20" s="56" t="str">
        <x:v>運用通知</x:v>
      </x:c>
      <x:c r="E20" s="56" t="str">
        <x:v>エラー通知メールの宛先・条件が未確定</x:v>
      </x:c>
      <x:c r="F20" s="56" t="str">
        <x:v>通知先・通知条件・対応責任者を合意する</x:v>
      </x:c>
      <x:c r="G20" s="56" t="str">
        <x:v>運用担当（要確定）</x:v>
      </x:c>
      <x:c r="H20" s="474" t="str">
        <x:v>00007</x:v>
      </x:c>
      <x:c r="I20" s="346" t="n">
        <x:f>IF('作業計画'!O13="","",WORKDAY.INTL('作業計画'!O13,-1,'設定'!$B$6,'設定'!$J$4:$J$53))</x:f>
        <x:v>46318</x:v>
      </x:c>
      <x:c r="J20" s="85" t="str">
        <x:v>未確認</x:v>
      </x:c>
      <x:c r="K20" s="56" t="str">
        <x:v>異常系テストと運用移管に影響</x:v>
      </x:c>
      <x:c r="L20" s="64" t="str">
        <x:v>通知設定とテストケースへ反映する</x:v>
      </x:c>
    </x:row>
    <x:row r="21" ht="76" customHeight="1">
      <x:c r="A21" s="61" t="str">
        <x:v>C16</x:v>
      </x:c>
      <x:c r="B21" s="48" t="str">
        <x:v>1.高</x:v>
      </x:c>
      <x:c r="C21" s="48" t="str">
        <x:v>13</x:v>
      </x:c>
      <x:c r="D21" s="48" t="str">
        <x:v>体制</x:v>
      </x:c>
      <x:c r="E21" s="48" t="str">
        <x:v>担当・メンバーの参加状況</x:v>
      </x:c>
      <x:c r="F21" s="48" t="str">
        <x:v>楊さん参加予定／クレアさん申請中の状況を再確認</x:v>
      </x:c>
      <x:c r="G21" s="48" t="str">
        <x:v>PM（要確定）</x:v>
      </x:c>
      <x:c r="H21" s="473" t="str">
        <x:v>00011</x:v>
      </x:c>
      <x:c r="I21" s="345" t="n">
        <x:f>IF('作業計画'!O17="","",WORKDAY.INTL('作業計画'!O17,-1,'設定'!$B$6,'設定'!$J$4:$J$53))</x:f>
        <x:v>46323</x:v>
      </x:c>
      <x:c r="J21" s="85" t="str">
        <x:v>未確認</x:v>
      </x:c>
      <x:c r="K21" s="48" t="str">
        <x:v>仮の並列スケジュール成立性に影響</x:v>
      </x:c>
      <x:c r="L21" s="62" t="str">
        <x:v>担当確定後、要員競合を調整する</x:v>
      </x:c>
    </x:row>
    <x:row r="22" ht="76" customHeight="1">
      <x:c r="A22" s="63" t="str">
        <x:v>C17</x:v>
      </x:c>
      <x:c r="B22" s="56" t="str">
        <x:v>1.高</x:v>
      </x:c>
      <x:c r="C22" s="56" t="str">
        <x:v>4</x:v>
      </x:c>
      <x:c r="D22" s="56" t="str">
        <x:v>稼働日</x:v>
      </x:c>
      <x:c r="E22" s="56" t="str">
        <x:v>祝日・会社休日・年末年始が未登録</x:v>
      </x:c>
      <x:c r="F22" s="56" t="str">
        <x:v>非稼働日を設定シートへ登録する</x:v>
      </x:c>
      <x:c r="G22" s="56" t="str">
        <x:v>PM（要確定）</x:v>
      </x:c>
      <x:c r="H22" s="474" t="str">
        <x:v>00010</x:v>
      </x:c>
      <x:c r="I22" s="346" t="n">
        <x:f>IF('作業計画'!O16="","",WORKDAY.INTL('作業計画'!O16,-1,'設定'!$B$6,'設定'!$J$4:$J$53))</x:f>
        <x:v>46322</x:v>
      </x:c>
      <x:c r="J22" s="85" t="str">
        <x:v>未確認</x:v>
      </x:c>
      <x:c r="K22" s="56" t="str">
        <x:v>予定終了日が後ろ倒しになる可能性</x:v>
      </x:c>
      <x:c r="L22" s="64" t="str">
        <x:v>設定!J4:J53を埋めて全日程を再確認する</x:v>
      </x:c>
    </x:row>
    <x:row r="23" ht="76" customHeight="1">
      <x:c r="A23" s="61" t="str">
        <x:v>C18</x:v>
      </x:c>
      <x:c r="B23" s="48" t="str">
        <x:v>2.中</x:v>
      </x:c>
      <x:c r="C23" s="48" t="str">
        <x:v>64／画像範囲外</x:v>
      </x:c>
      <x:c r="D23" s="48" t="str">
        <x:v>スコープ</x:v>
      </x:c>
      <x:c r="E23" s="48" t="str">
        <x:v>KT後の本番リリース・保守範囲</x:v>
      </x:c>
      <x:c r="F23" s="48" t="str">
        <x:v>画像のNo.1～64の後続作業が必要か確認する</x:v>
      </x:c>
      <x:c r="G23" s="48" t="str">
        <x:v>PM／運用責任者（要確定）</x:v>
      </x:c>
      <x:c r="H23" s="473" t="str">
        <x:v>00101</x:v>
      </x:c>
      <x:c r="I23" s="345" t="n">
        <x:f>IF('作業計画'!O107="","",WORKDAY.INTL('作業計画'!O107,-1,'設定'!$B$6,'設定'!$J$4:$J$53))</x:f>
        <x:v>46458</x:v>
      </x:c>
      <x:c r="J23" s="85" t="str">
        <x:v>未確認</x:v>
      </x:c>
      <x:c r="K23" s="48" t="str">
        <x:v>追加WBSが必要になる可能性</x:v>
      </x:c>
      <x:c r="L23" s="62" t="str">
        <x:v>本番移行・リリース・保守は必要に応じて別途計画する</x:v>
      </x:c>
    </x:row>
    <x:row r="24" ht="76" customHeight="1">
      <x:c r="A24" s="63" t="str">
        <x:v>C19</x:v>
      </x:c>
      <x:c r="B24" s="56" t="str">
        <x:v>2.中</x:v>
      </x:c>
      <x:c r="C24" s="56" t="str">
        <x:v>34～40</x:v>
      </x:c>
      <x:c r="D24" s="56" t="str">
        <x:v>既存影響</x:v>
      </x:c>
      <x:c r="E24" s="56" t="str">
        <x:v>Japan Data Platformへの変更・稼働影響</x:v>
      </x:c>
      <x:c r="F24" s="56" t="str">
        <x:v>既存処理への影響、変更手順、切戻し条件を確認する</x:v>
      </x:c>
      <x:c r="G24" s="56" t="str">
        <x:v>既存基盤／運用担当（要確定）</x:v>
      </x:c>
      <x:c r="H24" s="474" t="str">
        <x:v>00039</x:v>
      </x:c>
      <x:c r="I24" s="346" t="n">
        <x:f>IF('作業計画'!O45="","",WORKDAY.INTL('作業計画'!O45,-1,'設定'!$B$6,'設定'!$J$4:$J$53))</x:f>
        <x:v>46343</x:v>
      </x:c>
      <x:c r="J24" s="85" t="str">
        <x:v>未確認</x:v>
      </x:c>
      <x:c r="K24" s="56" t="str">
        <x:v>既存処理の性能・運用に影響</x:v>
      </x:c>
      <x:c r="L24" s="64" t="str">
        <x:v>変更承認と回帰・性能確認を計画する</x:v>
      </x:c>
    </x:row>
    <x:row r="25" ht="76" customHeight="1">
      <x:c r="A25" s="384" t="str">
        <x:v>C20</x:v>
      </x:c>
      <x:c r="B25" s="385" t="str">
        <x:v>2.中</x:v>
      </x:c>
      <x:c r="C25" s="385" t="str">
        <x:v>5／6</x:v>
      </x:c>
      <x:c r="D25" s="385" t="str">
        <x:v>実績</x:v>
      </x:c>
      <x:c r="E25" s="385" t="str">
        <x:v>資料上完了2件の実績日が不明</x:v>
      </x:c>
      <x:c r="F25" s="385" t="str">
        <x:v>完了証跡・承認・実績開始終了日を確認する</x:v>
      </x:c>
      <x:c r="G25" s="385" t="str">
        <x:v>確認担当（要確定）</x:v>
      </x:c>
      <x:c r="H25" s="475" t="str">
        <x:v>00011</x:v>
      </x:c>
      <x:c r="I25" s="400" t="n">
        <x:f>IF('作業計画'!O17="","",WORKDAY.INTL('作業計画'!O17,-1,'設定'!$B$6,'設定'!$J$4:$J$53))</x:f>
        <x:v>46323</x:v>
      </x:c>
      <x:c r="J25" s="86" t="str">
        <x:v>未確認</x:v>
      </x:c>
      <x:c r="K25" s="385" t="str">
        <x:v>正式な実績報告の精度に影響</x:v>
      </x:c>
      <x:c r="L25" s="386" t="str">
        <x:v>確認後に実績日とステータスを更新する</x:v>
      </x:c>
    </x:row>
  </x:sheetData>
  <x:mergeCells>
    <x:mergeCell ref="A1:L1"/>
    <x:mergeCell ref="A2:L2"/>
  </x:mergeCells>
  <x:conditionalFormatting sqref="B6:B25">
    <x:cfRule type="expression" dxfId="6" priority="1">
      <x:formula>B6="1.高"</x:formula>
    </x:cfRule>
  </x:conditionalFormatting>
  <x:dataValidations count="1">
    <x:dataValidation type="list" sqref="J6:J25">
      <x:formula1>"未確認,確認中,回答待ち,対応中,解決,保留"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c1434ac00944a1"/>
  </x:tableParts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31" hidden="0" customWidth="1"/>
    <x:col min="3" max="3" width="66" hidden="0" customWidth="1"/>
    <x:col min="4" max="4" width="3" hidden="0" customWidth="1"/>
    <x:col min="5" max="5" width="27" hidden="0" customWidth="1"/>
    <x:col min="6" max="6" width="15" hidden="0" customWidth="1"/>
    <x:col min="7" max="7" width="3" hidden="0" customWidth="1"/>
    <x:col min="8" max="8" width="3" hidden="0" customWidth="1"/>
    <x:col min="9" max="9" width="3" hidden="0" customWidth="1"/>
    <x:col min="10" max="10" width="24" hidden="0" customWidth="1"/>
    <x:col min="11" max="11" width="35" hidden="0" customWidth="1"/>
  </x:cols>
  <x:sheetData>
    <x:row r="1" ht="32" customHeight="1">
      <x:c r="A1" s="41" t="str">
        <x:v>Fabric移行 WBS｜設定・入力ルール</x:v>
      </x:c>
      <x:c r="B1" s="41"/>
      <x:c r="C1" s="41"/>
      <x:c r="D1" s="41"/>
      <x:c r="E1" s="41"/>
      <x:c r="F1" s="41"/>
      <x:c r="G1" s="30"/>
      <x:c r="H1" s="30"/>
      <x:c r="I1" s="30"/>
      <x:c r="J1" s="30"/>
      <x:c r="K1" s="30"/>
    </x:row>
    <x:row r="2" ht="22" customHeight="1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</x:row>
    <x:row r="3" ht="22" customHeight="1">
      <x:c r="A3" s="53" t="str">
        <x:v>設定項目</x:v>
      </x:c>
      <x:c r="B3" s="53" t="str">
        <x:v>設定値</x:v>
      </x:c>
      <x:c r="C3" s="53" t="str">
        <x:v>説明</x:v>
      </x:c>
      <x:c r="D3" s="30"/>
      <x:c r="E3" s="212" t="str">
        <x:v>ステータス</x:v>
      </x:c>
      <x:c r="F3" s="212" t="str">
        <x:v>重要度</x:v>
      </x:c>
      <x:c r="G3" s="30"/>
      <x:c r="H3" s="30"/>
      <x:c r="I3" s="30"/>
      <x:c r="J3" s="212" t="str">
        <x:v>非稼働日（任意入力）</x:v>
      </x:c>
      <x:c r="K3" s="212" t="str">
        <x:v>名称／備考</x:v>
      </x:c>
    </x:row>
    <x:row r="4" ht="25" customHeight="1">
      <x:c r="A4" s="48" t="str">
        <x:v>計画開始日（仮）</x:v>
      </x:c>
      <x:c r="B4" s="454" t="n">
        <x:v>46314</x:v>
      </x:c>
      <x:c r="C4" s="30" t="str">
        <x:v>正式な開始日が未提示のため仮置き。変更すると予定日・ガントが連動します。</x:v>
      </x:c>
      <x:c r="D4" s="30"/>
      <x:c r="E4" s="30" t="str">
        <x:v>00.未確認</x:v>
      </x:c>
      <x:c r="F4" s="30" t="str">
        <x:v>1.高</x:v>
      </x:c>
      <x:c r="G4" s="30"/>
      <x:c r="H4" s="30"/>
      <x:c r="I4" s="30"/>
      <x:c r="J4" s="119"/>
      <x:c r="K4" s="85"/>
    </x:row>
    <x:row r="5" ht="25" customHeight="1">
      <x:c r="A5" s="48" t="str">
        <x:v>進捗基準日（入力）</x:v>
      </x:c>
      <x:c r="B5" s="454" t="n">
        <x:v>46308</x:v>
      </x:c>
      <x:c r="C5" s="30" t="str">
        <x:v>進捗・遅延の判定日。運用時に更新してください。</x:v>
      </x:c>
      <x:c r="D5" s="30"/>
      <x:c r="E5" s="30" t="str">
        <x:v>01.未着手</x:v>
      </x:c>
      <x:c r="F5" s="30" t="str">
        <x:v>2.中</x:v>
      </x:c>
      <x:c r="G5" s="30"/>
      <x:c r="H5" s="30"/>
      <x:c r="I5" s="30"/>
      <x:c r="J5" s="119"/>
      <x:c r="K5" s="85"/>
    </x:row>
    <x:row r="6" ht="25" customHeight="1">
      <x:c r="A6" s="48" t="str">
        <x:v>休日パターン</x:v>
      </x:c>
      <x:c r="B6" s="452" t="n">
        <x:v>1</x:v>
      </x:c>
      <x:c r="C6" s="30" t="str">
        <x:v>1＝土曜・日曜を非稼働日として計算します。</x:v>
      </x:c>
      <x:c r="D6" s="30"/>
      <x:c r="E6" s="30" t="str">
        <x:v>02.進行中</x:v>
      </x:c>
      <x:c r="F6" s="30" t="str">
        <x:v>3.低</x:v>
      </x:c>
      <x:c r="G6" s="30"/>
      <x:c r="H6" s="30"/>
      <x:c r="I6" s="30"/>
      <x:c r="J6" s="119"/>
      <x:c r="K6" s="85"/>
    </x:row>
    <x:row r="7" ht="25" customHeight="1">
      <x:c r="A7" s="48" t="str">
        <x:v>計画ステータス</x:v>
      </x:c>
      <x:c r="B7" s="404" t="str">
        <x:v>ドラフト／未承認</x:v>
      </x:c>
      <x:c r="C7" s="30" t="str">
        <x:v>担当・所要期間・依存関係・並列実施は計画案です。</x:v>
      </x:c>
      <x:c r="D7" s="30"/>
      <x:c r="E7" s="30" t="str">
        <x:v>03.確認待ち</x:v>
      </x:c>
      <x:c r="F7" s="30"/>
      <x:c r="G7" s="30"/>
      <x:c r="H7" s="30"/>
      <x:c r="I7" s="30"/>
      <x:c r="J7" s="119"/>
      <x:c r="K7" s="85"/>
    </x:row>
    <x:row r="8" ht="25" customHeight="1">
      <x:c r="A8" s="48" t="str">
        <x:v>対象テーブル数</x:v>
      </x:c>
      <x:c r="B8" s="404" t="n">
        <x:v>5</x:v>
      </x:c>
      <x:c r="C8" s="30" t="str">
        <x:v>Product／Contact／Account／AccountContact／SalesRepHospital</x:v>
      </x:c>
      <x:c r="D8" s="30"/>
      <x:c r="E8" s="30" t="str">
        <x:v>04.保留</x:v>
      </x:c>
      <x:c r="F8" s="30"/>
      <x:c r="G8" s="30"/>
      <x:c r="H8" s="30"/>
      <x:c r="I8" s="30"/>
      <x:c r="J8" s="119"/>
      <x:c r="K8" s="85"/>
    </x:row>
    <x:row r="9" ht="25" customHeight="1">
      <x:c r="A9" s="48" t="str">
        <x:v>週次ガント表示週数</x:v>
      </x:c>
      <x:c r="B9" s="49" t="n">
        <x:v>26</x:v>
      </x:c>
      <x:c r="C9" s="30" t="str">
        <x:v>計画開始週から26週表示。表示期間外タスクはサマリーで警告します。</x:v>
      </x:c>
      <x:c r="D9" s="30"/>
      <x:c r="E9" s="30" t="str">
        <x:v>05.完了</x:v>
      </x:c>
      <x:c r="F9" s="30"/>
      <x:c r="G9" s="30"/>
      <x:c r="H9" s="30"/>
      <x:c r="I9" s="30"/>
      <x:c r="J9" s="119"/>
      <x:c r="K9" s="85"/>
    </x:row>
    <x:row r="10" ht="25" customHeight="1">
      <x:c r="A10" s="48" t="str">
        <x:v>出典の範囲</x:v>
      </x:c>
      <x:c r="B10" s="404" t="str">
        <x:v>作業内容 No.1～64</x:v>
      </x:c>
      <x:c r="C10" s="30" t="str">
        <x:v>画像5枚＋WBSサンプル1枚。読めない画像外の行は転記していません。</x:v>
      </x:c>
      <x:c r="D10" s="30"/>
      <x:c r="E10" s="30" t="str">
        <x:v>06.完了（資料記載）</x:v>
      </x:c>
      <x:c r="F10" s="30"/>
      <x:c r="G10" s="30"/>
      <x:c r="H10" s="30"/>
      <x:c r="I10" s="30"/>
      <x:c r="J10" s="119"/>
      <x:c r="K10" s="85"/>
    </x:row>
    <x:row r="11" ht="24" customHeight="1">
      <x:c r="A11" s="48" t="str">
        <x:v>現時点の実績</x:v>
      </x:c>
      <x:c r="B11" s="404" t="str">
        <x:v>元No.5・6のみ資料上完了</x:v>
      </x:c>
      <x:c r="C11" s="30" t="str">
        <x:v>他の作業状況・実績日・担当確定状況は未確認です。</x:v>
      </x:c>
      <x:c r="D11" s="30"/>
      <x:c r="E11" s="30"/>
      <x:c r="F11" s="30"/>
      <x:c r="G11" s="30"/>
      <x:c r="H11" s="30"/>
      <x:c r="I11" s="30"/>
      <x:c r="J11" s="119"/>
      <x:c r="K11" s="85"/>
    </x:row>
    <x:row r="12" ht="24" customHeight="1">
      <x:c r="A12" s="44" t="str">
        <x:v>休日・年末年始</x:v>
      </x:c>
      <x:c r="B12" s="45" t="str">
        <x:v>未登録</x:v>
      </x:c>
      <x:c r="C12" s="44" t="str">
        <x:v>祝日・会社休日はJ4:J53に日付で入力。現状は土日のみ除外します。</x:v>
      </x:c>
      <x:c r="D12" s="30"/>
      <x:c r="E12" s="30"/>
      <x:c r="F12" s="30"/>
      <x:c r="G12" s="30"/>
      <x:c r="H12" s="30"/>
      <x:c r="I12" s="30"/>
      <x:c r="J12" s="119"/>
      <x:c r="K12" s="85"/>
    </x:row>
    <x:row r="13" ht="24" customHeight="1">
      <x:c r="A13" s="30"/>
      <x:c r="B13" s="30"/>
      <x:c r="C13" s="30"/>
      <x:c r="D13" s="30"/>
      <x:c r="E13" s="30"/>
      <x:c r="F13" s="30"/>
      <x:c r="G13" s="30"/>
      <x:c r="H13" s="30"/>
      <x:c r="I13" s="30"/>
      <x:c r="J13" s="119"/>
      <x:c r="K13" s="85"/>
    </x:row>
    <x:row r="14" ht="24" customHeight="1">
      <x:c r="A14" s="30"/>
      <x:c r="B14" s="30"/>
      <x:c r="C14" s="30"/>
      <x:c r="D14" s="30"/>
      <x:c r="E14" s="30"/>
      <x:c r="F14" s="30"/>
      <x:c r="G14" s="30"/>
      <x:c r="H14" s="30"/>
      <x:c r="I14" s="30"/>
      <x:c r="J14" s="119"/>
      <x:c r="K14" s="85"/>
    </x:row>
    <x:row r="15" ht="24" customHeight="1">
      <x:c r="A15" s="53" t="str">
        <x:v>入力・計算ルール</x:v>
      </x:c>
      <x:c r="B15" s="53" t="str">
        <x:v>内容</x:v>
      </x:c>
      <x:c r="C15" s="53" t="str">
        <x:v>注意点</x:v>
      </x:c>
      <x:c r="D15" s="30"/>
      <x:c r="E15" s="30"/>
      <x:c r="F15" s="30"/>
      <x:c r="G15" s="30"/>
      <x:c r="H15" s="30"/>
      <x:c r="I15" s="30"/>
      <x:c r="J15" s="119"/>
      <x:c r="K15" s="85"/>
    </x:row>
    <x:row r="16" ht="24" customHeight="1">
      <x:c r="A16" s="48" t="str">
        <x:v>主な入力先</x:v>
      </x:c>
      <x:c r="B16" s="30" t="str">
        <x:v>「作業計画」の担当・状態・先行ID・着手営業日・期間・実績・数量</x:v>
      </x:c>
      <x:c r="C16" s="30" t="str">
        <x:v>WBS／週次ガント／サマリーは参照用です。</x:v>
      </x:c>
      <x:c r="D16" s="30"/>
      <x:c r="E16" s="30"/>
      <x:c r="F16" s="30"/>
      <x:c r="G16" s="30"/>
      <x:c r="H16" s="30"/>
      <x:c r="I16" s="30"/>
      <x:c r="J16" s="119"/>
      <x:c r="K16" s="85"/>
    </x:row>
    <x:row r="17" ht="24" customHeight="1">
      <x:c r="A17" s="48" t="str">
        <x:v>青文字・淡い青のセル</x:v>
      </x:c>
      <x:c r="B17" s="30" t="str">
        <x:v>編集可能な値</x:v>
      </x:c>
      <x:c r="C17" s="30" t="str">
        <x:v>黒文字・灰色のセルは計算式です。</x:v>
      </x:c>
      <x:c r="D17" s="30"/>
      <x:c r="E17" s="30"/>
      <x:c r="F17" s="30"/>
      <x:c r="G17" s="30"/>
      <x:c r="H17" s="30"/>
      <x:c r="I17" s="30"/>
      <x:c r="J17" s="119"/>
      <x:c r="K17" s="85"/>
    </x:row>
    <x:row r="18" ht="24" customHeight="1">
      <x:c r="A18" s="48" t="str">
        <x:v>着手営業日</x:v>
      </x:c>
      <x:c r="B18" s="30" t="str">
        <x:v>計画開始日を1とする最早着手営業日</x:v>
      </x:c>
      <x:c r="C18" s="30" t="str">
        <x:v>予定開始は、最早着手日と先行作業終了の翌営業日の遅い方。</x:v>
      </x:c>
      <x:c r="D18" s="30"/>
      <x:c r="E18" s="30"/>
      <x:c r="F18" s="30"/>
      <x:c r="G18" s="30"/>
      <x:c r="H18" s="30"/>
      <x:c r="I18" s="30"/>
      <x:c r="J18" s="119"/>
      <x:c r="K18" s="85"/>
    </x:row>
    <x:row r="19" ht="24" customHeight="1">
      <x:c r="A19" s="48" t="str">
        <x:v>先行ID</x:v>
      </x:c>
      <x:c r="B19" s="30" t="str">
        <x:v>先行①～③の完了後に着手（FS関係）</x:v>
      </x:c>
      <x:c r="C19" s="30" t="str">
        <x:v>自分自身・後続ID・循環参照は設定しないでください。</x:v>
      </x:c>
      <x:c r="D19" s="30"/>
      <x:c r="E19" s="30"/>
      <x:c r="F19" s="30"/>
      <x:c r="G19" s="30"/>
      <x:c r="H19" s="30"/>
      <x:c r="I19" s="30"/>
      <x:c r="J19" s="119"/>
      <x:c r="K19" s="85"/>
    </x:row>
    <x:row r="20" ht="24" customHeight="1">
      <x:c r="A20" s="48" t="str">
        <x:v>期間0の扱い</x:v>
      </x:c>
      <x:c r="B20" s="30" t="str">
        <x:v>新規日程を算定しない参照完了タスク</x:v>
      </x:c>
      <x:c r="C20" s="30" t="str">
        <x:v>元No.5・6のみ初期値0。他タスクは1営業日以上を設定。</x:v>
      </x:c>
      <x:c r="D20" s="30"/>
      <x:c r="E20" s="30"/>
      <x:c r="F20" s="30"/>
      <x:c r="G20" s="30"/>
      <x:c r="H20" s="30"/>
      <x:c r="I20" s="30"/>
      <x:c r="J20" s="119"/>
      <x:c r="K20" s="85"/>
    </x:row>
    <x:row r="21" ht="24" customHeight="1">
      <x:c r="A21" s="48" t="str">
        <x:v>完成率</x:v>
      </x:c>
      <x:c r="B21" s="30" t="str">
        <x:v>完了数量÷総数量（総数0は0%）</x:v>
      </x:c>
      <x:c r="C21" s="30" t="str">
        <x:v>総数1は一式の暫定管理単位。実テーブル数・試験件数ではありません。</x:v>
      </x:c>
      <x:c r="D21" s="30"/>
      <x:c r="E21" s="30"/>
      <x:c r="F21" s="30"/>
      <x:c r="G21" s="30"/>
      <x:c r="H21" s="30"/>
      <x:c r="I21" s="30"/>
      <x:c r="J21" s="119"/>
      <x:c r="K21" s="85"/>
    </x:row>
    <x:row r="22" ht="24" customHeight="1">
      <x:c r="A22" s="48" t="str">
        <x:v>実績</x:v>
      </x:c>
      <x:c r="B22" s="30" t="str">
        <x:v>実績開始・終了は空欄。元No.5・6は資料記載に基づく完了</x:v>
      </x:c>
      <x:c r="C22" s="30" t="str">
        <x:v>サンプルにある過去日付・担当・完成率は流用していません。</x:v>
      </x:c>
      <x:c r="D22" s="30"/>
      <x:c r="E22" s="30"/>
      <x:c r="F22" s="30"/>
      <x:c r="G22" s="30"/>
      <x:c r="H22" s="30"/>
      <x:c r="I22" s="30"/>
      <x:c r="J22" s="119"/>
      <x:c r="K22" s="85"/>
    </x:row>
    <x:row r="23" ht="24" customHeight="1">
      <x:c r="A23" s="48" t="str">
        <x:v>計画上の制約</x:v>
      </x:c>
      <x:c r="B23" s="30" t="str">
        <x:v>並列タスクあり。担当は役割ベースの仮設定</x:v>
      </x:c>
      <x:c r="C23" s="30" t="str">
        <x:v>要員競合の平準化・本番リリース・保守は本WBSの対象外です。</x:v>
      </x:c>
      <x:c r="D23" s="30"/>
      <x:c r="E23" s="30"/>
      <x:c r="F23" s="30"/>
      <x:c r="G23" s="30"/>
      <x:c r="H23" s="30"/>
      <x:c r="I23" s="30"/>
      <x:c r="J23" s="119"/>
      <x:c r="K23" s="85"/>
    </x:row>
    <x:row r="24" ht="55" customHeight="1">
      <x:c r="A24" s="48" t="str">
        <x:v>タスク追加・削除</x:v>
      </x:c>
      <x:c r="B24" s="30" t="str">
        <x:v>本書は101件の初期計画を管理</x:v>
      </x:c>
      <x:c r="C24" s="30" t="str">
        <x:v>行追加・削除時はWBS・ガント・サマリー・元資料対応の参照範囲も更新してください。</x:v>
      </x:c>
      <x:c r="D24" s="30"/>
      <x:c r="E24" s="30"/>
      <x:c r="F24" s="30"/>
      <x:c r="G24" s="30"/>
      <x:c r="H24" s="30"/>
      <x:c r="I24" s="30"/>
      <x:c r="J24" s="119"/>
      <x:c r="K24" s="85"/>
    </x:row>
    <x:row r="25" ht="24" customHeight="1">
      <x:c r="A25" s="30"/>
      <x:c r="B25" s="30"/>
      <x:c r="C25" s="30"/>
      <x:c r="D25" s="30"/>
      <x:c r="E25" s="30"/>
      <x:c r="F25" s="30"/>
      <x:c r="G25" s="30"/>
      <x:c r="H25" s="30"/>
      <x:c r="I25" s="30"/>
      <x:c r="J25" s="119"/>
      <x:c r="K25" s="85"/>
    </x:row>
    <x:row r="26" ht="24" customHeight="1">
      <x:c r="A26" s="30"/>
      <x:c r="B26" s="30"/>
      <x:c r="C26" s="30"/>
      <x:c r="D26" s="30"/>
      <x:c r="E26" s="30"/>
      <x:c r="F26" s="30"/>
      <x:c r="G26" s="30"/>
      <x:c r="H26" s="30"/>
      <x:c r="I26" s="30"/>
      <x:c r="J26" s="119"/>
      <x:c r="K26" s="85"/>
    </x:row>
    <x:row r="27" ht="24" customHeight="1">
      <x:c r="A27" s="30"/>
      <x:c r="B27" s="30"/>
      <x:c r="C27" s="30"/>
      <x:c r="D27" s="30"/>
      <x:c r="E27" s="30"/>
      <x:c r="F27" s="30"/>
      <x:c r="G27" s="30"/>
      <x:c r="H27" s="30"/>
      <x:c r="I27" s="30"/>
      <x:c r="J27" s="119"/>
      <x:c r="K27" s="85"/>
    </x:row>
    <x:row r="28" ht="24" customHeight="1">
      <x:c r="A28" s="30"/>
      <x:c r="B28" s="30"/>
      <x:c r="C28" s="30"/>
      <x:c r="D28" s="30"/>
      <x:c r="E28" s="30"/>
      <x:c r="F28" s="30"/>
      <x:c r="G28" s="30"/>
      <x:c r="H28" s="30"/>
      <x:c r="I28" s="30"/>
      <x:c r="J28" s="119"/>
      <x:c r="K28" s="85"/>
    </x:row>
    <x:row r="29" ht="24" customHeight="1">
      <x:c r="A29" s="30"/>
      <x:c r="B29" s="30"/>
      <x:c r="C29" s="30"/>
      <x:c r="D29" s="30"/>
      <x:c r="E29" s="30"/>
      <x:c r="F29" s="30"/>
      <x:c r="G29" s="30"/>
      <x:c r="H29" s="30"/>
      <x:c r="I29" s="30"/>
      <x:c r="J29" s="119"/>
      <x:c r="K29" s="85"/>
    </x:row>
    <x:row r="30" ht="24" customHeight="1">
      <x:c r="A30" s="30"/>
      <x:c r="B30" s="30"/>
      <x:c r="C30" s="30"/>
      <x:c r="D30" s="30"/>
      <x:c r="E30" s="30"/>
      <x:c r="F30" s="30"/>
      <x:c r="G30" s="30"/>
      <x:c r="H30" s="30"/>
      <x:c r="I30" s="30"/>
      <x:c r="J30" s="119"/>
      <x:c r="K30" s="85"/>
    </x:row>
    <x:row r="31" ht="24" customHeight="1">
      <x:c r="A31" s="30"/>
      <x:c r="B31" s="30"/>
      <x:c r="C31" s="30"/>
      <x:c r="D31" s="30"/>
      <x:c r="E31" s="30"/>
      <x:c r="F31" s="30"/>
      <x:c r="G31" s="30"/>
      <x:c r="H31" s="30"/>
      <x:c r="I31" s="30"/>
      <x:c r="J31" s="119"/>
      <x:c r="K31" s="85"/>
    </x:row>
    <x:row r="32" ht="24" customHeight="1">
      <x:c r="A32" s="30"/>
      <x:c r="B32" s="30"/>
      <x:c r="C32" s="30"/>
      <x:c r="D32" s="30"/>
      <x:c r="E32" s="30"/>
      <x:c r="F32" s="30"/>
      <x:c r="G32" s="30"/>
      <x:c r="H32" s="30"/>
      <x:c r="I32" s="30"/>
      <x:c r="J32" s="119"/>
      <x:c r="K32" s="85"/>
    </x:row>
    <x:row r="33" ht="24" customHeight="1">
      <x:c r="A33" s="30"/>
      <x:c r="B33" s="30"/>
      <x:c r="C33" s="30"/>
      <x:c r="D33" s="30"/>
      <x:c r="E33" s="30"/>
      <x:c r="F33" s="30"/>
      <x:c r="G33" s="30"/>
      <x:c r="H33" s="30"/>
      <x:c r="I33" s="30"/>
      <x:c r="J33" s="119"/>
      <x:c r="K33" s="85"/>
    </x:row>
    <x:row r="34" ht="24" customHeight="1">
      <x:c r="A34" s="30"/>
      <x:c r="B34" s="30"/>
      <x:c r="C34" s="30"/>
      <x:c r="D34" s="30"/>
      <x:c r="E34" s="30"/>
      <x:c r="F34" s="30"/>
      <x:c r="G34" s="30"/>
      <x:c r="H34" s="30"/>
      <x:c r="I34" s="30"/>
      <x:c r="J34" s="119"/>
      <x:c r="K34" s="85"/>
    </x:row>
    <x:row r="35" ht="24" customHeight="1">
      <x:c r="A35" s="30"/>
      <x:c r="B35" s="30"/>
      <x:c r="C35" s="30"/>
      <x:c r="D35" s="30"/>
      <x:c r="E35" s="30"/>
      <x:c r="F35" s="30"/>
      <x:c r="G35" s="30"/>
      <x:c r="H35" s="30"/>
      <x:c r="I35" s="30"/>
      <x:c r="J35" s="119"/>
      <x:c r="K35" s="85"/>
    </x:row>
    <x:row r="36" ht="24" customHeight="1">
      <x:c r="A36" s="30"/>
      <x:c r="B36" s="30"/>
      <x:c r="C36" s="30"/>
      <x:c r="D36" s="30"/>
      <x:c r="E36" s="30"/>
      <x:c r="F36" s="30"/>
      <x:c r="G36" s="30"/>
      <x:c r="H36" s="30"/>
      <x:c r="I36" s="30"/>
      <x:c r="J36" s="119"/>
      <x:c r="K36" s="85"/>
    </x:row>
    <x:row r="37" ht="24" customHeight="1">
      <x:c r="A37" s="30"/>
      <x:c r="B37" s="30"/>
      <x:c r="C37" s="30"/>
      <x:c r="D37" s="30"/>
      <x:c r="E37" s="30"/>
      <x:c r="F37" s="30"/>
      <x:c r="G37" s="30"/>
      <x:c r="H37" s="30"/>
      <x:c r="I37" s="30"/>
      <x:c r="J37" s="119"/>
      <x:c r="K37" s="85"/>
    </x:row>
    <x:row r="38" ht="24" customHeight="1">
      <x:c r="A38" s="30"/>
      <x:c r="B38" s="30"/>
      <x:c r="C38" s="30"/>
      <x:c r="D38" s="30"/>
      <x:c r="E38" s="30"/>
      <x:c r="F38" s="30"/>
      <x:c r="G38" s="30"/>
      <x:c r="H38" s="30"/>
      <x:c r="I38" s="30"/>
      <x:c r="J38" s="119"/>
      <x:c r="K38" s="85"/>
    </x:row>
    <x:row r="39" ht="24" customHeight="1">
      <x:c r="A39" s="30"/>
      <x:c r="B39" s="30"/>
      <x:c r="C39" s="30"/>
      <x:c r="D39" s="30"/>
      <x:c r="E39" s="30"/>
      <x:c r="F39" s="30"/>
      <x:c r="G39" s="30"/>
      <x:c r="H39" s="30"/>
      <x:c r="I39" s="30"/>
      <x:c r="J39" s="119"/>
      <x:c r="K39" s="85"/>
    </x:row>
    <x:row r="40" ht="24" customHeight="1">
      <x:c r="A40" s="30"/>
      <x:c r="B40" s="30"/>
      <x:c r="C40" s="30"/>
      <x:c r="D40" s="30"/>
      <x:c r="E40" s="30"/>
      <x:c r="F40" s="30"/>
      <x:c r="G40" s="30"/>
      <x:c r="H40" s="30"/>
      <x:c r="I40" s="30"/>
      <x:c r="J40" s="119"/>
      <x:c r="K40" s="85"/>
    </x:row>
    <x:row r="41" ht="24" customHeight="1">
      <x:c r="A41" s="30"/>
      <x:c r="B41" s="30"/>
      <x:c r="C41" s="30"/>
      <x:c r="D41" s="30"/>
      <x:c r="E41" s="30"/>
      <x:c r="F41" s="30"/>
      <x:c r="G41" s="30"/>
      <x:c r="H41" s="30"/>
      <x:c r="I41" s="30"/>
      <x:c r="J41" s="119"/>
      <x:c r="K41" s="85"/>
    </x:row>
    <x:row r="42" ht="24" customHeight="1">
      <x:c r="A42" s="30"/>
      <x:c r="B42" s="30"/>
      <x:c r="C42" s="30"/>
      <x:c r="D42" s="30"/>
      <x:c r="E42" s="30"/>
      <x:c r="F42" s="30"/>
      <x:c r="G42" s="30"/>
      <x:c r="H42" s="30"/>
      <x:c r="I42" s="30"/>
      <x:c r="J42" s="119"/>
      <x:c r="K42" s="85"/>
    </x:row>
    <x:row r="43" ht="24" customHeight="1">
      <x:c r="A43" s="30"/>
      <x:c r="B43" s="30"/>
      <x:c r="C43" s="30"/>
      <x:c r="D43" s="30"/>
      <x:c r="E43" s="30"/>
      <x:c r="F43" s="30"/>
      <x:c r="G43" s="30"/>
      <x:c r="H43" s="30"/>
      <x:c r="I43" s="30"/>
      <x:c r="J43" s="119"/>
      <x:c r="K43" s="85"/>
    </x:row>
    <x:row r="44" ht="24" customHeight="1">
      <x:c r="A44" s="30"/>
      <x:c r="B44" s="30"/>
      <x:c r="C44" s="30"/>
      <x:c r="D44" s="30"/>
      <x:c r="E44" s="30"/>
      <x:c r="F44" s="30"/>
      <x:c r="G44" s="30"/>
      <x:c r="H44" s="30"/>
      <x:c r="I44" s="30"/>
      <x:c r="J44" s="119"/>
      <x:c r="K44" s="85"/>
    </x:row>
    <x:row r="45" ht="24" customHeight="1">
      <x:c r="A45" s="30"/>
      <x:c r="B45" s="30"/>
      <x:c r="C45" s="30"/>
      <x:c r="D45" s="30"/>
      <x:c r="E45" s="30"/>
      <x:c r="F45" s="30"/>
      <x:c r="G45" s="30"/>
      <x:c r="H45" s="30"/>
      <x:c r="I45" s="30"/>
      <x:c r="J45" s="119"/>
      <x:c r="K45" s="85"/>
    </x:row>
    <x:row r="46" ht="24" customHeight="1">
      <x:c r="A46" s="30"/>
      <x:c r="B46" s="30"/>
      <x:c r="C46" s="30"/>
      <x:c r="D46" s="30"/>
      <x:c r="E46" s="30"/>
      <x:c r="F46" s="30"/>
      <x:c r="G46" s="30"/>
      <x:c r="H46" s="30"/>
      <x:c r="I46" s="30"/>
      <x:c r="J46" s="119"/>
      <x:c r="K46" s="85"/>
    </x:row>
    <x:row r="47" ht="24" customHeight="1">
      <x:c r="A47" s="30"/>
      <x:c r="B47" s="30"/>
      <x:c r="C47" s="30"/>
      <x:c r="D47" s="30"/>
      <x:c r="E47" s="30"/>
      <x:c r="F47" s="30"/>
      <x:c r="G47" s="30"/>
      <x:c r="H47" s="30"/>
      <x:c r="I47" s="30"/>
      <x:c r="J47" s="119"/>
      <x:c r="K47" s="85"/>
    </x:row>
    <x:row r="48" ht="24" customHeight="1">
      <x:c r="A48" s="30"/>
      <x:c r="B48" s="30"/>
      <x:c r="C48" s="30"/>
      <x:c r="D48" s="30"/>
      <x:c r="E48" s="30"/>
      <x:c r="F48" s="30"/>
      <x:c r="G48" s="30"/>
      <x:c r="H48" s="30"/>
      <x:c r="I48" s="30"/>
      <x:c r="J48" s="119"/>
      <x:c r="K48" s="85"/>
    </x:row>
    <x:row r="49" ht="24" customHeight="1">
      <x:c r="A49" s="30"/>
      <x:c r="B49" s="30"/>
      <x:c r="C49" s="30"/>
      <x:c r="D49" s="30"/>
      <x:c r="E49" s="30"/>
      <x:c r="F49" s="30"/>
      <x:c r="G49" s="30"/>
      <x:c r="H49" s="30"/>
      <x:c r="I49" s="30"/>
      <x:c r="J49" s="119"/>
      <x:c r="K49" s="85"/>
    </x:row>
    <x:row r="50" ht="24" customHeight="1">
      <x:c r="A50" s="30"/>
      <x:c r="B50" s="30"/>
      <x:c r="C50" s="30"/>
      <x:c r="D50" s="30"/>
      <x:c r="E50" s="30"/>
      <x:c r="F50" s="30"/>
      <x:c r="G50" s="30"/>
      <x:c r="H50" s="30"/>
      <x:c r="I50" s="30"/>
      <x:c r="J50" s="119"/>
      <x:c r="K50" s="85"/>
    </x:row>
    <x:row r="51" ht="24" customHeight="1">
      <x:c r="A51" s="30"/>
      <x:c r="B51" s="30"/>
      <x:c r="C51" s="30"/>
      <x:c r="D51" s="30"/>
      <x:c r="E51" s="30"/>
      <x:c r="F51" s="30"/>
      <x:c r="G51" s="30"/>
      <x:c r="H51" s="30"/>
      <x:c r="I51" s="30"/>
      <x:c r="J51" s="119"/>
      <x:c r="K51" s="85"/>
    </x:row>
    <x:row r="52" ht="24" customHeight="1">
      <x:c r="A52" s="30"/>
      <x:c r="B52" s="30"/>
      <x:c r="C52" s="30"/>
      <x:c r="D52" s="30"/>
      <x:c r="E52" s="30"/>
      <x:c r="F52" s="30"/>
      <x:c r="G52" s="30"/>
      <x:c r="H52" s="30"/>
      <x:c r="I52" s="30"/>
      <x:c r="J52" s="119"/>
      <x:c r="K52" s="85"/>
    </x:row>
    <x:row r="53" ht="24" customHeight="1">
      <x:c r="A53" s="30"/>
      <x:c r="B53" s="30"/>
      <x:c r="C53" s="30"/>
      <x:c r="D53" s="30"/>
      <x:c r="E53" s="30"/>
      <x:c r="F53" s="30"/>
      <x:c r="G53" s="30"/>
      <x:c r="H53" s="30"/>
      <x:c r="I53" s="30"/>
      <x:c r="J53" s="119"/>
      <x:c r="K53" s="85"/>
    </x:row>
  </x:sheetData>
  <x:mergeCells>
    <x:mergeCell ref="A1:F1"/>
  </x:mergeCells>
  <x:pageMargins left="0.7" right="0.7" top="0.75" bottom="0.75" header="0.3" footer="0.3"/>
</x:worksheet>
</file>